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B10" i="1" l="1"/>
  <c r="H30" i="1"/>
  <c r="D32" i="1"/>
  <c r="D31" i="1"/>
  <c r="D30" i="1"/>
  <c r="F30" i="1"/>
  <c r="B32" i="1"/>
  <c r="B31" i="1"/>
  <c r="B30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B11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H6" i="1"/>
  <c r="D8" i="1"/>
  <c r="D6" i="1"/>
  <c r="B34" i="1" l="1"/>
  <c r="B29" i="1"/>
</calcChain>
</file>

<file path=xl/sharedStrings.xml><?xml version="1.0" encoding="utf-8"?>
<sst xmlns="http://schemas.openxmlformats.org/spreadsheetml/2006/main" count="49" uniqueCount="49">
  <si>
    <t>应发岗贴</t>
  </si>
  <si>
    <t>岗贴扣税</t>
  </si>
  <si>
    <t>过节费</t>
    <phoneticPr fontId="6" type="noConversion"/>
  </si>
  <si>
    <t>岗位</t>
  </si>
  <si>
    <t>薪级</t>
  </si>
  <si>
    <t>岗贴</t>
  </si>
  <si>
    <t>职贴</t>
  </si>
  <si>
    <t>保留补贴</t>
  </si>
  <si>
    <t>房贴</t>
  </si>
  <si>
    <t>特贴</t>
  </si>
  <si>
    <t>其他津贴</t>
  </si>
  <si>
    <t>保留</t>
  </si>
  <si>
    <t>独子</t>
  </si>
  <si>
    <t>校贴</t>
  </si>
  <si>
    <t>劳酬</t>
  </si>
  <si>
    <t>其他</t>
  </si>
  <si>
    <t>房租</t>
  </si>
  <si>
    <t>水费</t>
  </si>
  <si>
    <t>电费</t>
  </si>
  <si>
    <t>失业险</t>
  </si>
  <si>
    <t>税费</t>
  </si>
  <si>
    <t>会费</t>
  </si>
  <si>
    <t>汇款</t>
  </si>
  <si>
    <t>扣保险费</t>
  </si>
  <si>
    <t>停薪</t>
  </si>
  <si>
    <t>电视</t>
  </si>
  <si>
    <t>公积金</t>
  </si>
  <si>
    <t>清洁费</t>
  </si>
  <si>
    <t>其他1</t>
  </si>
  <si>
    <t>总扣</t>
  </si>
  <si>
    <t>应发</t>
  </si>
  <si>
    <t>上尾</t>
  </si>
  <si>
    <t>本尾</t>
  </si>
  <si>
    <t>姓名：</t>
    <phoneticPr fontId="1" type="noConversion"/>
  </si>
  <si>
    <t>人事号：</t>
    <phoneticPr fontId="1" type="noConversion"/>
  </si>
  <si>
    <t>Email：</t>
    <phoneticPr fontId="1" type="noConversion"/>
  </si>
  <si>
    <t>本通知单仅供对账使用，津贴数据以实际发放金额为准</t>
    <phoneticPr fontId="1" type="noConversion"/>
  </si>
  <si>
    <t>武汉大学水利水电学院个人薪酬通知单</t>
    <phoneticPr fontId="1" type="noConversion"/>
  </si>
  <si>
    <t>部门名称</t>
  </si>
  <si>
    <t>年</t>
  </si>
  <si>
    <t>月份</t>
  </si>
  <si>
    <t>人事编号</t>
  </si>
  <si>
    <t>姓名</t>
  </si>
  <si>
    <t>津贴</t>
  </si>
  <si>
    <t>合计</t>
  </si>
  <si>
    <t>实发</t>
  </si>
  <si>
    <t>奖金</t>
    <phoneticPr fontId="1" type="noConversion"/>
  </si>
  <si>
    <t>其他2</t>
    <phoneticPr fontId="1" type="noConversion"/>
  </si>
  <si>
    <t>邮箱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</si>
</sst>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6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Geneva"/>
      <family val="2"/>
    </font>
    <font>
      <sz val="10"/>
      <name val="宋体"/>
      <family val="3"/>
      <charset val="134"/>
    </font>
    <font>
      <u/>
      <sz val="11"/>
      <color theme="10"/>
      <name val="宋体"/>
      <family val="2"/>
      <scheme val="minor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12"/>
      <color theme="5"/>
      <name val="宋体"/>
      <family val="2"/>
      <scheme val="minor"/>
    </font>
    <font>
      <b/>
      <sz val="16"/>
      <color theme="5" tint="-0.249977111117893"/>
      <name val="宋体"/>
      <family val="3"/>
      <charset val="134"/>
      <scheme val="minor"/>
    </font>
    <font>
      <b/>
      <sz val="11"/>
      <color theme="2" tint="-0.749992370372631"/>
      <name val="宋体"/>
      <family val="3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b/>
      <sz val="13"/>
      <color rgb="FFFF0000"/>
      <name val="宋体"/>
      <family val="3"/>
      <charset val="134"/>
      <scheme val="minor"/>
    </font>
    <font>
      <b/>
      <sz val="12"/>
      <color theme="5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rgb="FFFFFFFF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159BD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 style="medium">
        <color rgb="FF6495ED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medium">
        <color rgb="FF6495ED"/>
      </right>
      <top style="medium">
        <color rgb="FF6495ED"/>
      </top>
      <bottom style="thin">
        <color rgb="FF000000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/>
  </cellStyleXfs>
  <cellXfs count="70">
    <xf numFmtId="0" fontId="0" fillId="0" borderId="0" xfId="0"/>
    <xf numFmtId="0" fontId="3" fillId="2" borderId="1" xfId="1" applyFont="1" applyFill="1" applyBorder="1" applyAlignment="1">
      <alignment horizontal="center" vertical="center"/>
    </xf>
    <xf numFmtId="49" fontId="4" fillId="2" borderId="1" xfId="2" applyNumberFormat="1" applyFill="1" applyBorder="1" applyAlignment="1">
      <alignment horizontal="left" vertical="center"/>
    </xf>
    <xf numFmtId="0" fontId="3" fillId="2" borderId="1" xfId="1" applyNumberFormat="1" applyFont="1" applyFill="1" applyBorder="1" applyAlignment="1">
      <alignment horizontal="center" vertical="center"/>
    </xf>
    <xf numFmtId="176" fontId="3" fillId="2" borderId="1" xfId="1" applyNumberFormat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 wrapText="1"/>
    </xf>
    <xf numFmtId="0" fontId="0" fillId="0" borderId="0" xfId="0" applyAlignment="1"/>
    <xf numFmtId="49" fontId="3" fillId="2" borderId="1" xfId="1" applyNumberFormat="1" applyFont="1" applyFill="1" applyBorder="1" applyAlignment="1">
      <alignment horizontal="center" vertical="center"/>
    </xf>
    <xf numFmtId="49" fontId="15" fillId="5" borderId="25" xfId="0" applyNumberFormat="1" applyFont="1" applyFill="1" applyBorder="1" applyAlignment="1">
      <alignment horizontal="center" vertical="center"/>
    </xf>
    <xf numFmtId="49" fontId="15" fillId="5" borderId="26" xfId="0" applyNumberFormat="1" applyFont="1" applyFill="1" applyBorder="1" applyAlignment="1">
      <alignment horizontal="center" vertical="center"/>
    </xf>
    <xf numFmtId="0" fontId="15" fillId="5" borderId="26" xfId="0" applyNumberFormat="1" applyFont="1" applyFill="1" applyBorder="1" applyAlignment="1">
      <alignment horizontal="center" vertical="center"/>
    </xf>
    <xf numFmtId="0" fontId="15" fillId="5" borderId="26" xfId="0" applyFont="1" applyFill="1" applyBorder="1" applyAlignment="1">
      <alignment horizontal="center" vertical="center"/>
    </xf>
    <xf numFmtId="0" fontId="15" fillId="5" borderId="27" xfId="0" applyFont="1" applyFill="1" applyBorder="1" applyAlignment="1">
      <alignment horizontal="center" vertical="center"/>
    </xf>
    <xf numFmtId="0" fontId="5" fillId="3" borderId="1" xfId="1" applyNumberFormat="1" applyFont="1" applyFill="1" applyBorder="1" applyAlignment="1">
      <alignment horizontal="center" vertical="center" wrapText="1"/>
    </xf>
    <xf numFmtId="0" fontId="0" fillId="0" borderId="28" xfId="0" applyBorder="1"/>
    <xf numFmtId="0" fontId="7" fillId="4" borderId="1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176" fontId="14" fillId="4" borderId="6" xfId="0" applyNumberFormat="1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/>
    </xf>
    <xf numFmtId="176" fontId="13" fillId="4" borderId="0" xfId="0" applyNumberFormat="1" applyFont="1" applyFill="1" applyBorder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14" fillId="4" borderId="6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3" fillId="4" borderId="30" xfId="0" applyFont="1" applyFill="1" applyBorder="1" applyAlignment="1">
      <alignment horizontal="center"/>
    </xf>
    <xf numFmtId="0" fontId="13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176" fontId="13" fillId="4" borderId="30" xfId="0" applyNumberFormat="1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1" fillId="4" borderId="18" xfId="0" applyFont="1" applyFill="1" applyBorder="1" applyAlignment="1">
      <alignment horizontal="center"/>
    </xf>
    <xf numFmtId="0" fontId="11" fillId="4" borderId="19" xfId="0" applyFont="1" applyFill="1" applyBorder="1" applyAlignment="1">
      <alignment horizontal="center"/>
    </xf>
    <xf numFmtId="0" fontId="11" fillId="4" borderId="20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176" fontId="13" fillId="4" borderId="11" xfId="0" applyNumberFormat="1" applyFon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14" fillId="4" borderId="5" xfId="0" applyFont="1" applyFill="1" applyBorder="1" applyAlignment="1">
      <alignment horizontal="center"/>
    </xf>
    <xf numFmtId="176" fontId="13" fillId="4" borderId="5" xfId="0" applyNumberFormat="1" applyFont="1" applyFill="1" applyBorder="1" applyAlignment="1">
      <alignment horizontal="center"/>
    </xf>
    <xf numFmtId="176" fontId="13" fillId="4" borderId="13" xfId="0" applyNumberFormat="1" applyFont="1" applyFill="1" applyBorder="1" applyAlignment="1">
      <alignment horizontal="center"/>
    </xf>
    <xf numFmtId="0" fontId="8" fillId="4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1" xfId="0" applyNumberFormat="1" applyFill="1" applyBorder="1" applyAlignment="1">
      <alignment horizontal="center"/>
    </xf>
    <xf numFmtId="0" fontId="0" fillId="4" borderId="22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4" borderId="3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9" fillId="4" borderId="6" xfId="0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常规" xfId="0" builtinId="0"/>
    <cellStyle name="常规_2007年11月海信普通商家考核表" xfId="1"/>
    <cellStyle name="超链接" xfId="2" builtin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I39"/>
  <sheetViews>
    <sheetView tabSelected="1" workbookViewId="0">
      <selection activeCell="A2" sqref="A2:XFD2"/>
    </sheetView>
  </sheetViews>
  <sheetFormatPr defaultRowHeight="13.5"/>
  <cols>
    <col min="2" max="2" width="7.75" customWidth="1"/>
    <col min="139" max="165" width="9" style="6"/>
  </cols>
  <sheetData>
    <row r="1" spans="1:44">
      <c r="A1" s="8" t="s">
        <v>38</v>
      </c>
      <c r="B1" s="9" t="s">
        <v>39</v>
      </c>
      <c r="C1" s="9" t="s">
        <v>40</v>
      </c>
      <c r="D1" s="10" t="s">
        <v>41</v>
      </c>
      <c r="E1" s="9" t="s">
        <v>42</v>
      </c>
      <c r="F1" s="11" t="s">
        <v>3</v>
      </c>
      <c r="G1" s="11" t="s">
        <v>4</v>
      </c>
      <c r="H1" s="11" t="s">
        <v>43</v>
      </c>
      <c r="I1" s="11" t="s">
        <v>5</v>
      </c>
      <c r="J1" s="11" t="s">
        <v>6</v>
      </c>
      <c r="K1" s="11" t="s">
        <v>7</v>
      </c>
      <c r="L1" s="11" t="s">
        <v>8</v>
      </c>
      <c r="M1" s="11" t="s">
        <v>9</v>
      </c>
      <c r="N1" s="11" t="s">
        <v>10</v>
      </c>
      <c r="O1" s="11" t="s">
        <v>11</v>
      </c>
      <c r="P1" s="11" t="s">
        <v>12</v>
      </c>
      <c r="Q1" s="11" t="s">
        <v>13</v>
      </c>
      <c r="R1" s="11" t="s">
        <v>14</v>
      </c>
      <c r="S1" s="11" t="s">
        <v>15</v>
      </c>
      <c r="T1" s="11" t="s">
        <v>44</v>
      </c>
      <c r="U1" s="11" t="s">
        <v>16</v>
      </c>
      <c r="V1" s="11" t="s">
        <v>17</v>
      </c>
      <c r="W1" s="11" t="s">
        <v>18</v>
      </c>
      <c r="X1" s="11" t="s">
        <v>19</v>
      </c>
      <c r="Y1" s="11" t="s">
        <v>20</v>
      </c>
      <c r="Z1" s="11" t="s">
        <v>21</v>
      </c>
      <c r="AA1" s="11" t="s">
        <v>22</v>
      </c>
      <c r="AB1" s="11" t="s">
        <v>23</v>
      </c>
      <c r="AC1" s="11" t="s">
        <v>24</v>
      </c>
      <c r="AD1" s="11" t="s">
        <v>25</v>
      </c>
      <c r="AE1" s="11" t="s">
        <v>26</v>
      </c>
      <c r="AF1" s="11" t="s">
        <v>27</v>
      </c>
      <c r="AG1" s="11" t="s">
        <v>28</v>
      </c>
      <c r="AH1" s="11" t="s">
        <v>29</v>
      </c>
      <c r="AI1" s="11" t="s">
        <v>30</v>
      </c>
      <c r="AJ1" s="11" t="s">
        <v>31</v>
      </c>
      <c r="AK1" s="11" t="s">
        <v>32</v>
      </c>
      <c r="AL1" s="12" t="s">
        <v>45</v>
      </c>
      <c r="AM1" s="13" t="s">
        <v>0</v>
      </c>
      <c r="AN1" s="13" t="s">
        <v>1</v>
      </c>
      <c r="AO1" s="5" t="s">
        <v>2</v>
      </c>
      <c r="AP1" s="5" t="s">
        <v>46</v>
      </c>
      <c r="AQ1" s="5" t="s">
        <v>47</v>
      </c>
      <c r="AR1" s="5" t="s">
        <v>48</v>
      </c>
    </row>
    <row r="2" spans="1:44">
      <c r="A2" s="1"/>
      <c r="B2" s="2"/>
      <c r="C2" s="1"/>
      <c r="D2" s="3"/>
      <c r="E2" s="1"/>
      <c r="F2" s="1"/>
      <c r="G2" s="7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3"/>
    </row>
    <row r="4" spans="1:44" ht="14.25" thickBot="1"/>
    <row r="5" spans="1:44" ht="28.5" customHeight="1" thickBot="1">
      <c r="B5" s="43" t="s">
        <v>37</v>
      </c>
      <c r="C5" s="44"/>
      <c r="D5" s="44"/>
      <c r="E5" s="44"/>
      <c r="F5" s="44"/>
      <c r="G5" s="44"/>
      <c r="H5" s="44"/>
      <c r="I5" s="45"/>
    </row>
    <row r="6" spans="1:44" ht="25.5" customHeight="1">
      <c r="B6" s="46" t="s">
        <v>33</v>
      </c>
      <c r="C6" s="47"/>
      <c r="D6" s="48">
        <f>E2</f>
        <v>0</v>
      </c>
      <c r="E6" s="47"/>
      <c r="F6" s="48" t="s">
        <v>34</v>
      </c>
      <c r="G6" s="47"/>
      <c r="H6" s="49">
        <f>D2</f>
        <v>0</v>
      </c>
      <c r="I6" s="50"/>
    </row>
    <row r="7" spans="1:44">
      <c r="B7" s="51"/>
      <c r="C7" s="52"/>
      <c r="D7" s="52"/>
      <c r="E7" s="52"/>
      <c r="F7" s="52"/>
      <c r="G7" s="52"/>
      <c r="H7" s="52"/>
      <c r="I7" s="53"/>
    </row>
    <row r="8" spans="1:44" ht="20.25" customHeight="1">
      <c r="B8" s="51" t="s">
        <v>35</v>
      </c>
      <c r="C8" s="54"/>
      <c r="D8" s="55">
        <f>AR2</f>
        <v>0</v>
      </c>
      <c r="E8" s="56"/>
      <c r="F8" s="57"/>
      <c r="G8" s="54"/>
      <c r="H8" s="57"/>
      <c r="I8" s="53"/>
    </row>
    <row r="9" spans="1:44" ht="14.25" thickBot="1">
      <c r="B9" s="58"/>
      <c r="C9" s="59"/>
      <c r="D9" s="59"/>
      <c r="E9" s="59"/>
      <c r="F9" s="59"/>
      <c r="G9" s="59"/>
      <c r="H9" s="59"/>
      <c r="I9" s="60"/>
    </row>
    <row r="10" spans="1:44" ht="22.5" customHeight="1">
      <c r="B10" s="61" t="str">
        <f>"校财务部发工资本次到账共计： " &amp;AL2&amp;" 元"</f>
        <v>校财务部发工资本次到账共计：  元</v>
      </c>
      <c r="C10" s="62"/>
      <c r="D10" s="62"/>
      <c r="E10" s="62"/>
      <c r="F10" s="62"/>
      <c r="G10" s="62"/>
      <c r="H10" s="62"/>
      <c r="I10" s="63"/>
    </row>
    <row r="11" spans="1:44" ht="22.5" customHeight="1">
      <c r="B11" s="64" t="str">
        <f>$F1</f>
        <v>岗位</v>
      </c>
      <c r="C11" s="35"/>
      <c r="D11" s="21">
        <f>F2</f>
        <v>0</v>
      </c>
      <c r="E11" s="21"/>
      <c r="F11" s="35" t="str">
        <f>V$1</f>
        <v>水费</v>
      </c>
      <c r="G11" s="35"/>
      <c r="H11" s="20">
        <f>V2</f>
        <v>0</v>
      </c>
      <c r="I11" s="31"/>
    </row>
    <row r="12" spans="1:44" ht="22.5" customHeight="1">
      <c r="B12" s="64" t="str">
        <f>G$1</f>
        <v>薪级</v>
      </c>
      <c r="C12" s="35"/>
      <c r="D12" s="20">
        <f>G2</f>
        <v>0</v>
      </c>
      <c r="E12" s="21"/>
      <c r="F12" s="35" t="str">
        <f>W$1</f>
        <v>电费</v>
      </c>
      <c r="G12" s="35"/>
      <c r="H12" s="20">
        <f>W2</f>
        <v>0</v>
      </c>
      <c r="I12" s="31"/>
    </row>
    <row r="13" spans="1:44" ht="22.5" customHeight="1">
      <c r="B13" s="64" t="str">
        <f>H$1</f>
        <v>津贴</v>
      </c>
      <c r="C13" s="35"/>
      <c r="D13" s="20">
        <f>H2</f>
        <v>0</v>
      </c>
      <c r="E13" s="21"/>
      <c r="F13" s="35" t="str">
        <f>X$1</f>
        <v>失业险</v>
      </c>
      <c r="G13" s="35"/>
      <c r="H13" s="20">
        <f>X2</f>
        <v>0</v>
      </c>
      <c r="I13" s="31"/>
    </row>
    <row r="14" spans="1:44" ht="22.5" customHeight="1">
      <c r="B14" s="64" t="str">
        <f>I$1</f>
        <v>岗贴</v>
      </c>
      <c r="C14" s="35"/>
      <c r="D14" s="20">
        <f>I2</f>
        <v>0</v>
      </c>
      <c r="E14" s="21"/>
      <c r="F14" s="35" t="str">
        <f>Y$1</f>
        <v>税费</v>
      </c>
      <c r="G14" s="35"/>
      <c r="H14" s="20">
        <f>Y2</f>
        <v>0</v>
      </c>
      <c r="I14" s="31"/>
    </row>
    <row r="15" spans="1:44" ht="22.5" customHeight="1">
      <c r="B15" s="64" t="str">
        <f>J$1</f>
        <v>职贴</v>
      </c>
      <c r="C15" s="35"/>
      <c r="D15" s="20">
        <f>J2</f>
        <v>0</v>
      </c>
      <c r="E15" s="21"/>
      <c r="F15" s="35" t="str">
        <f>Z$1</f>
        <v>会费</v>
      </c>
      <c r="G15" s="35"/>
      <c r="H15" s="20">
        <f>Z2</f>
        <v>0</v>
      </c>
      <c r="I15" s="31"/>
    </row>
    <row r="16" spans="1:44" ht="23.25" customHeight="1">
      <c r="B16" s="64" t="str">
        <f>K$1</f>
        <v>保留补贴</v>
      </c>
      <c r="C16" s="35"/>
      <c r="D16" s="20">
        <f>K2</f>
        <v>0</v>
      </c>
      <c r="E16" s="21"/>
      <c r="F16" s="35" t="str">
        <f>AA$1</f>
        <v>汇款</v>
      </c>
      <c r="G16" s="35"/>
      <c r="H16" s="20">
        <f>AA2</f>
        <v>0</v>
      </c>
      <c r="I16" s="31"/>
    </row>
    <row r="17" spans="1:9" ht="22.5" customHeight="1">
      <c r="B17" s="64" t="str">
        <f>L$1</f>
        <v>房贴</v>
      </c>
      <c r="C17" s="35"/>
      <c r="D17" s="20">
        <f>L2</f>
        <v>0</v>
      </c>
      <c r="E17" s="21"/>
      <c r="F17" s="35" t="str">
        <f>AB$1</f>
        <v>扣保险费</v>
      </c>
      <c r="G17" s="35"/>
      <c r="H17" s="20">
        <f>AB2</f>
        <v>0</v>
      </c>
      <c r="I17" s="31"/>
    </row>
    <row r="18" spans="1:9" ht="22.5" customHeight="1">
      <c r="B18" s="64" t="str">
        <f>M$1</f>
        <v>特贴</v>
      </c>
      <c r="C18" s="35"/>
      <c r="D18" s="20">
        <f>M2</f>
        <v>0</v>
      </c>
      <c r="E18" s="21"/>
      <c r="F18" s="35" t="str">
        <f>AC$1</f>
        <v>停薪</v>
      </c>
      <c r="G18" s="35"/>
      <c r="H18" s="20">
        <f>AC2</f>
        <v>0</v>
      </c>
      <c r="I18" s="31"/>
    </row>
    <row r="19" spans="1:9" ht="22.5" customHeight="1">
      <c r="B19" s="64" t="str">
        <f>N$1</f>
        <v>其他津贴</v>
      </c>
      <c r="C19" s="35"/>
      <c r="D19" s="20">
        <f>N2</f>
        <v>0</v>
      </c>
      <c r="E19" s="21"/>
      <c r="F19" s="35" t="str">
        <f>AD$1</f>
        <v>电视</v>
      </c>
      <c r="G19" s="35"/>
      <c r="H19" s="20">
        <f>AD2</f>
        <v>0</v>
      </c>
      <c r="I19" s="31"/>
    </row>
    <row r="20" spans="1:9" ht="22.5" customHeight="1">
      <c r="B20" s="64" t="str">
        <f>O$1</f>
        <v>保留</v>
      </c>
      <c r="C20" s="35"/>
      <c r="D20" s="20">
        <f>O2</f>
        <v>0</v>
      </c>
      <c r="E20" s="21"/>
      <c r="F20" s="35" t="str">
        <f>AE$1</f>
        <v>公积金</v>
      </c>
      <c r="G20" s="35"/>
      <c r="H20" s="20">
        <f>AE2</f>
        <v>0</v>
      </c>
      <c r="I20" s="31"/>
    </row>
    <row r="21" spans="1:9" ht="22.5" customHeight="1">
      <c r="B21" s="64" t="str">
        <f>P$1</f>
        <v>独子</v>
      </c>
      <c r="C21" s="35"/>
      <c r="D21" s="20">
        <f>P2</f>
        <v>0</v>
      </c>
      <c r="E21" s="21"/>
      <c r="F21" s="69" t="str">
        <f>AF1</f>
        <v>清洁费</v>
      </c>
      <c r="G21" s="69"/>
      <c r="H21" s="20">
        <f>AF2</f>
        <v>0</v>
      </c>
      <c r="I21" s="31"/>
    </row>
    <row r="22" spans="1:9" ht="22.5" customHeight="1">
      <c r="B22" s="64" t="str">
        <f>Q$1</f>
        <v>校贴</v>
      </c>
      <c r="C22" s="35"/>
      <c r="D22" s="20">
        <f>Q2</f>
        <v>0</v>
      </c>
      <c r="E22" s="21"/>
      <c r="F22" s="69" t="str">
        <f>AG1</f>
        <v>其他1</v>
      </c>
      <c r="G22" s="69"/>
      <c r="H22" s="20">
        <f>AG2</f>
        <v>0</v>
      </c>
      <c r="I22" s="31"/>
    </row>
    <row r="23" spans="1:9" ht="22.5" customHeight="1">
      <c r="B23" s="64" t="str">
        <f>R1</f>
        <v>劳酬</v>
      </c>
      <c r="C23" s="35"/>
      <c r="D23" s="20">
        <f>R2</f>
        <v>0</v>
      </c>
      <c r="E23" s="21"/>
      <c r="F23" s="69" t="str">
        <f>AH1</f>
        <v>总扣</v>
      </c>
      <c r="G23" s="69"/>
      <c r="H23" s="20">
        <f>AH2</f>
        <v>0</v>
      </c>
      <c r="I23" s="31"/>
    </row>
    <row r="24" spans="1:9" ht="22.5" customHeight="1">
      <c r="A24" s="14"/>
      <c r="B24" s="35" t="str">
        <f>S$1</f>
        <v>其他</v>
      </c>
      <c r="C24" s="35"/>
      <c r="D24" s="20">
        <f>S2</f>
        <v>0</v>
      </c>
      <c r="E24" s="21"/>
      <c r="F24" s="35" t="str">
        <f>AI1</f>
        <v>应发</v>
      </c>
      <c r="G24" s="35"/>
      <c r="H24" s="20">
        <f>AI2</f>
        <v>0</v>
      </c>
      <c r="I24" s="36"/>
    </row>
    <row r="25" spans="1:9" ht="22.5" customHeight="1">
      <c r="A25" s="14"/>
      <c r="B25" s="35" t="str">
        <f>T$1</f>
        <v>合计</v>
      </c>
      <c r="C25" s="35"/>
      <c r="D25" s="20">
        <f>T2</f>
        <v>0</v>
      </c>
      <c r="E25" s="21"/>
      <c r="F25" s="35" t="str">
        <f>AJ1</f>
        <v>上尾</v>
      </c>
      <c r="G25" s="35"/>
      <c r="H25" s="20">
        <f>AJ2</f>
        <v>0</v>
      </c>
      <c r="I25" s="36"/>
    </row>
    <row r="26" spans="1:9" ht="22.5" customHeight="1">
      <c r="A26" s="14"/>
      <c r="B26" s="35" t="str">
        <f>U$1</f>
        <v>房租</v>
      </c>
      <c r="C26" s="35"/>
      <c r="D26" s="20">
        <f>U2</f>
        <v>0</v>
      </c>
      <c r="E26" s="21"/>
      <c r="F26" s="35" t="str">
        <f>AK1</f>
        <v>本尾</v>
      </c>
      <c r="G26" s="35"/>
      <c r="H26" s="20">
        <f>AK2</f>
        <v>0</v>
      </c>
      <c r="I26" s="36"/>
    </row>
    <row r="27" spans="1:9" ht="22.5" customHeight="1">
      <c r="B27" s="24"/>
      <c r="C27" s="68"/>
      <c r="D27" s="26"/>
      <c r="E27" s="27"/>
      <c r="F27" s="28" t="str">
        <f>AL1</f>
        <v>实发</v>
      </c>
      <c r="G27" s="29"/>
      <c r="H27" s="30">
        <f>AL2</f>
        <v>0</v>
      </c>
      <c r="I27" s="31"/>
    </row>
    <row r="28" spans="1:9" ht="22.5" customHeight="1" thickBot="1">
      <c r="B28" s="37"/>
      <c r="C28" s="38"/>
      <c r="D28" s="39"/>
      <c r="E28" s="39"/>
      <c r="F28" s="40"/>
      <c r="G28" s="40"/>
      <c r="H28" s="41"/>
      <c r="I28" s="42"/>
    </row>
    <row r="29" spans="1:9" ht="21" customHeight="1">
      <c r="B29" s="32" t="str">
        <f>"学院发岗位津贴:  " &amp; D30-D31+D32+H30&amp; "  元"</f>
        <v>学院发岗位津贴:  0  元</v>
      </c>
      <c r="C29" s="33"/>
      <c r="D29" s="33"/>
      <c r="E29" s="33"/>
      <c r="F29" s="33"/>
      <c r="G29" s="33"/>
      <c r="H29" s="33"/>
      <c r="I29" s="34"/>
    </row>
    <row r="30" spans="1:9" ht="22.5" customHeight="1">
      <c r="B30" s="24" t="str">
        <f>AM1</f>
        <v>应发岗贴</v>
      </c>
      <c r="C30" s="19"/>
      <c r="D30" s="20">
        <f>AM2</f>
        <v>0</v>
      </c>
      <c r="E30" s="21"/>
      <c r="F30" s="19" t="str">
        <f>AP1</f>
        <v>奖金</v>
      </c>
      <c r="G30" s="19"/>
      <c r="H30" s="20">
        <f>AP2</f>
        <v>0</v>
      </c>
      <c r="I30" s="31"/>
    </row>
    <row r="31" spans="1:9" ht="22.5" customHeight="1">
      <c r="B31" s="18" t="str">
        <f>AN1</f>
        <v>岗贴扣税</v>
      </c>
      <c r="C31" s="19"/>
      <c r="D31" s="20">
        <f>AN2</f>
        <v>0</v>
      </c>
      <c r="E31" s="21"/>
      <c r="F31" s="22"/>
      <c r="G31" s="22"/>
      <c r="H31" s="22"/>
      <c r="I31" s="23"/>
    </row>
    <row r="32" spans="1:9" ht="22.5" customHeight="1">
      <c r="B32" s="24" t="str">
        <f>AO1</f>
        <v>过节费</v>
      </c>
      <c r="C32" s="19"/>
      <c r="D32" s="20">
        <f>AO2</f>
        <v>0</v>
      </c>
      <c r="E32" s="21"/>
      <c r="F32" s="22"/>
      <c r="G32" s="22"/>
      <c r="H32" s="22"/>
      <c r="I32" s="23"/>
    </row>
    <row r="33" spans="1:9" ht="15" customHeight="1">
      <c r="B33" s="25"/>
      <c r="C33" s="22"/>
      <c r="D33" s="22"/>
      <c r="E33" s="22"/>
      <c r="F33" s="22"/>
      <c r="G33" s="22"/>
      <c r="H33" s="22"/>
      <c r="I33" s="23"/>
    </row>
    <row r="34" spans="1:9" ht="18" customHeight="1">
      <c r="B34" s="65" t="str">
        <f>"本月工行账户共到账：工资: " &amp; AL2 &amp;  "  岗贴： " &amp; D30-D31+D32+H30</f>
        <v>本月工行账户共到账：工资:   岗贴： 0</v>
      </c>
      <c r="C34" s="66"/>
      <c r="D34" s="66"/>
      <c r="E34" s="66"/>
      <c r="F34" s="66"/>
      <c r="G34" s="66"/>
      <c r="H34" s="66"/>
      <c r="I34" s="67"/>
    </row>
    <row r="35" spans="1:9" ht="18" customHeight="1" thickBot="1">
      <c r="B35" s="15" t="s">
        <v>36</v>
      </c>
      <c r="C35" s="16"/>
      <c r="D35" s="16"/>
      <c r="E35" s="16"/>
      <c r="F35" s="16"/>
      <c r="G35" s="16"/>
      <c r="H35" s="16"/>
      <c r="I35" s="17"/>
    </row>
    <row r="36" spans="1:9">
      <c r="A36" s="69"/>
      <c r="B36" s="69"/>
      <c r="C36" s="69"/>
      <c r="D36" s="69"/>
      <c r="E36" s="69"/>
      <c r="F36" s="69"/>
      <c r="G36" s="69"/>
      <c r="H36" s="69"/>
    </row>
    <row r="37" spans="1:9">
      <c r="A37" s="69"/>
      <c r="B37" s="69"/>
      <c r="C37" s="69"/>
      <c r="D37" s="69"/>
      <c r="E37" s="69"/>
      <c r="F37" s="69"/>
      <c r="G37" s="69"/>
      <c r="H37" s="69"/>
    </row>
    <row r="38" spans="1:9">
      <c r="A38" s="69"/>
      <c r="B38" s="69"/>
      <c r="C38" s="69"/>
      <c r="D38" s="69"/>
      <c r="E38" s="69"/>
      <c r="F38" s="69"/>
      <c r="G38" s="69"/>
      <c r="H38" s="69"/>
    </row>
    <row r="39" spans="1:9">
      <c r="A39" s="69"/>
      <c r="B39" s="69"/>
      <c r="C39" s="69"/>
      <c r="D39" s="69"/>
      <c r="E39" s="69"/>
      <c r="F39" s="69"/>
      <c r="G39" s="69"/>
      <c r="H39" s="69"/>
    </row>
  </sheetData>
  <mergeCells count="119">
    <mergeCell ref="C39:D39"/>
    <mergeCell ref="A36:B36"/>
    <mergeCell ref="A37:B37"/>
    <mergeCell ref="A38:B38"/>
    <mergeCell ref="E39:F39"/>
    <mergeCell ref="G36:H36"/>
    <mergeCell ref="G37:H37"/>
    <mergeCell ref="G38:H38"/>
    <mergeCell ref="G39:H39"/>
    <mergeCell ref="E36:F36"/>
    <mergeCell ref="E37:F37"/>
    <mergeCell ref="E38:F38"/>
    <mergeCell ref="A39:B39"/>
    <mergeCell ref="C36:D36"/>
    <mergeCell ref="C37:D37"/>
    <mergeCell ref="C38:D38"/>
    <mergeCell ref="B17:C17"/>
    <mergeCell ref="B18:C18"/>
    <mergeCell ref="B19:C19"/>
    <mergeCell ref="B20:C20"/>
    <mergeCell ref="D20:E20"/>
    <mergeCell ref="B23:C23"/>
    <mergeCell ref="D23:E23"/>
    <mergeCell ref="F20:G20"/>
    <mergeCell ref="F21:G21"/>
    <mergeCell ref="F22:G22"/>
    <mergeCell ref="F23:G23"/>
    <mergeCell ref="D13:E13"/>
    <mergeCell ref="B26:C26"/>
    <mergeCell ref="B34:I34"/>
    <mergeCell ref="H19:I19"/>
    <mergeCell ref="H16:I16"/>
    <mergeCell ref="H17:I17"/>
    <mergeCell ref="H18:I18"/>
    <mergeCell ref="H13:I13"/>
    <mergeCell ref="H14:I14"/>
    <mergeCell ref="H15:I15"/>
    <mergeCell ref="B14:C14"/>
    <mergeCell ref="D14:E14"/>
    <mergeCell ref="F14:G14"/>
    <mergeCell ref="B15:C15"/>
    <mergeCell ref="D15:E15"/>
    <mergeCell ref="F15:G15"/>
    <mergeCell ref="D16:E16"/>
    <mergeCell ref="F16:G16"/>
    <mergeCell ref="D17:E17"/>
    <mergeCell ref="F17:G17"/>
    <mergeCell ref="D18:E18"/>
    <mergeCell ref="D19:E19"/>
    <mergeCell ref="B27:C27"/>
    <mergeCell ref="B16:C16"/>
    <mergeCell ref="B9:I9"/>
    <mergeCell ref="B10:I10"/>
    <mergeCell ref="B11:C11"/>
    <mergeCell ref="D11:E11"/>
    <mergeCell ref="B24:C24"/>
    <mergeCell ref="H11:I11"/>
    <mergeCell ref="B12:C12"/>
    <mergeCell ref="D12:E12"/>
    <mergeCell ref="B25:C25"/>
    <mergeCell ref="H12:I12"/>
    <mergeCell ref="F11:G11"/>
    <mergeCell ref="F12:G12"/>
    <mergeCell ref="F13:G13"/>
    <mergeCell ref="H20:I20"/>
    <mergeCell ref="B21:C21"/>
    <mergeCell ref="D21:E21"/>
    <mergeCell ref="F18:G18"/>
    <mergeCell ref="H21:I21"/>
    <mergeCell ref="B22:C22"/>
    <mergeCell ref="D22:E22"/>
    <mergeCell ref="F19:G19"/>
    <mergeCell ref="H22:I22"/>
    <mergeCell ref="H23:I23"/>
    <mergeCell ref="B13:C13"/>
    <mergeCell ref="B5:I5"/>
    <mergeCell ref="B6:C6"/>
    <mergeCell ref="D6:E6"/>
    <mergeCell ref="F6:G6"/>
    <mergeCell ref="H6:I6"/>
    <mergeCell ref="B7:I7"/>
    <mergeCell ref="B8:C8"/>
    <mergeCell ref="D8:E8"/>
    <mergeCell ref="F8:G8"/>
    <mergeCell ref="H8:I8"/>
    <mergeCell ref="D27:E27"/>
    <mergeCell ref="F27:G27"/>
    <mergeCell ref="H27:I27"/>
    <mergeCell ref="B29:I29"/>
    <mergeCell ref="B30:C30"/>
    <mergeCell ref="D30:E30"/>
    <mergeCell ref="F30:G30"/>
    <mergeCell ref="H30:I30"/>
    <mergeCell ref="D24:E24"/>
    <mergeCell ref="D25:E25"/>
    <mergeCell ref="D26:E26"/>
    <mergeCell ref="F24:G24"/>
    <mergeCell ref="F25:G25"/>
    <mergeCell ref="F26:G26"/>
    <mergeCell ref="H24:I24"/>
    <mergeCell ref="H25:I25"/>
    <mergeCell ref="H26:I26"/>
    <mergeCell ref="B28:C28"/>
    <mergeCell ref="D28:E28"/>
    <mergeCell ref="F28:G28"/>
    <mergeCell ref="H28:I28"/>
    <mergeCell ref="B35:I35"/>
    <mergeCell ref="B31:C31"/>
    <mergeCell ref="D31:E31"/>
    <mergeCell ref="F31:G31"/>
    <mergeCell ref="H31:I31"/>
    <mergeCell ref="B32:C32"/>
    <mergeCell ref="D32:E32"/>
    <mergeCell ref="F32:G32"/>
    <mergeCell ref="H32:I32"/>
    <mergeCell ref="B33:C33"/>
    <mergeCell ref="D33:E33"/>
    <mergeCell ref="F33:G33"/>
    <mergeCell ref="H33:I33"/>
  </mergeCells>
  <phoneticPr fontId="1" type="noConversion"/>
  <conditionalFormatting sqref="AM1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2013-08-19T07:19:02Z</dcterms:modified>
</cp:coreProperties>
</file>