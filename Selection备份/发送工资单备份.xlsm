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发送工资单" sheetId="1" r:id="rId1"/>
    <sheet name="Temp财务部报表_有人事号" sheetId="16" state="hidden" r:id="rId2"/>
  </sheets>
  <functionGroups builtInGroupCount="18"/>
  <externalReferences>
    <externalReference r:id="rId3"/>
    <externalReference r:id="rId4"/>
    <externalReference r:id="rId5"/>
    <externalReference r:id="rId6"/>
  </externalReferences>
  <calcPr calcId="152511"/>
</workbook>
</file>

<file path=xl/calcChain.xml><?xml version="1.0" encoding="utf-8"?>
<calcChain xmlns="http://schemas.openxmlformats.org/spreadsheetml/2006/main">
  <c r="F237" i="16" l="1"/>
  <c r="E237" i="16"/>
  <c r="C237" i="16"/>
  <c r="B237" i="16"/>
  <c r="F236" i="16"/>
  <c r="E236" i="16"/>
  <c r="C236" i="16"/>
  <c r="B236" i="16"/>
  <c r="F235" i="16"/>
  <c r="E235" i="16"/>
  <c r="C235" i="16"/>
  <c r="B235" i="16"/>
  <c r="F234" i="16"/>
  <c r="E234" i="16"/>
  <c r="C234" i="16"/>
  <c r="B234" i="16"/>
  <c r="F233" i="16"/>
  <c r="E233" i="16"/>
  <c r="C233" i="16"/>
  <c r="B233" i="16"/>
  <c r="F232" i="16"/>
  <c r="E232" i="16"/>
  <c r="C232" i="16"/>
  <c r="B232" i="16"/>
  <c r="F231" i="16"/>
  <c r="E231" i="16"/>
  <c r="C231" i="16"/>
  <c r="B231" i="16"/>
  <c r="F230" i="16"/>
  <c r="E230" i="16"/>
  <c r="C230" i="16"/>
  <c r="B230" i="16"/>
  <c r="F229" i="16"/>
  <c r="E229" i="16"/>
  <c r="C229" i="16"/>
  <c r="B229" i="16"/>
  <c r="F228" i="16"/>
  <c r="E228" i="16"/>
  <c r="C228" i="16"/>
  <c r="B228" i="16"/>
  <c r="F227" i="16"/>
  <c r="E227" i="16"/>
  <c r="C227" i="16"/>
  <c r="B227" i="16"/>
  <c r="F226" i="16"/>
  <c r="E226" i="16"/>
  <c r="C226" i="16"/>
  <c r="B226" i="16"/>
  <c r="F225" i="16"/>
  <c r="E225" i="16"/>
  <c r="C225" i="16"/>
  <c r="B225" i="16"/>
  <c r="F224" i="16"/>
  <c r="E224" i="16"/>
  <c r="C224" i="16"/>
  <c r="B224" i="16"/>
  <c r="F223" i="16"/>
  <c r="E223" i="16"/>
  <c r="C223" i="16"/>
  <c r="B223" i="16"/>
  <c r="F222" i="16"/>
  <c r="E222" i="16"/>
  <c r="C222" i="16"/>
  <c r="B222" i="16"/>
  <c r="F221" i="16"/>
  <c r="E221" i="16"/>
  <c r="C221" i="16"/>
  <c r="B221" i="16"/>
  <c r="F220" i="16"/>
  <c r="E220" i="16"/>
  <c r="C220" i="16"/>
  <c r="B220" i="16"/>
  <c r="F219" i="16"/>
  <c r="E219" i="16"/>
  <c r="C219" i="16"/>
  <c r="B219" i="16"/>
  <c r="F218" i="16"/>
  <c r="E218" i="16"/>
  <c r="C218" i="16"/>
  <c r="B218" i="16"/>
  <c r="F217" i="16"/>
  <c r="E217" i="16"/>
  <c r="C217" i="16"/>
  <c r="B217" i="16"/>
  <c r="F216" i="16"/>
  <c r="E216" i="16"/>
  <c r="C216" i="16"/>
  <c r="B216" i="16"/>
  <c r="F215" i="16"/>
  <c r="E215" i="16"/>
  <c r="C215" i="16"/>
  <c r="B215" i="16"/>
  <c r="F214" i="16"/>
  <c r="E214" i="16"/>
  <c r="C214" i="16"/>
  <c r="B214" i="16"/>
  <c r="F213" i="16"/>
  <c r="E213" i="16"/>
  <c r="C213" i="16"/>
  <c r="B213" i="16"/>
  <c r="F212" i="16"/>
  <c r="E212" i="16"/>
  <c r="C212" i="16"/>
  <c r="B212" i="16"/>
  <c r="F211" i="16"/>
  <c r="E211" i="16"/>
  <c r="C211" i="16"/>
  <c r="B211" i="16"/>
  <c r="F210" i="16"/>
  <c r="E210" i="16"/>
  <c r="C210" i="16"/>
  <c r="B210" i="16"/>
  <c r="F209" i="16"/>
  <c r="E209" i="16"/>
  <c r="C209" i="16"/>
  <c r="B209" i="16"/>
  <c r="F208" i="16"/>
  <c r="E208" i="16"/>
  <c r="C208" i="16"/>
  <c r="B208" i="16"/>
  <c r="F207" i="16"/>
  <c r="E207" i="16"/>
  <c r="C207" i="16"/>
  <c r="B207" i="16"/>
  <c r="F206" i="16"/>
  <c r="E206" i="16"/>
  <c r="C206" i="16"/>
  <c r="B206" i="16"/>
  <c r="F205" i="16"/>
  <c r="E205" i="16"/>
  <c r="C205" i="16"/>
  <c r="B205" i="16"/>
  <c r="F204" i="16"/>
  <c r="E204" i="16"/>
  <c r="C204" i="16"/>
  <c r="B204" i="16"/>
  <c r="F203" i="16"/>
  <c r="E203" i="16"/>
  <c r="C203" i="16"/>
  <c r="B203" i="16"/>
  <c r="F202" i="16"/>
  <c r="E202" i="16"/>
  <c r="C202" i="16"/>
  <c r="B202" i="16"/>
  <c r="F201" i="16"/>
  <c r="E201" i="16"/>
  <c r="C201" i="16"/>
  <c r="B201" i="16"/>
  <c r="F200" i="16"/>
  <c r="E200" i="16"/>
  <c r="C200" i="16"/>
  <c r="B200" i="16"/>
  <c r="F199" i="16"/>
  <c r="E199" i="16"/>
  <c r="C199" i="16"/>
  <c r="B199" i="16"/>
  <c r="F198" i="16"/>
  <c r="E198" i="16"/>
  <c r="C198" i="16"/>
  <c r="B198" i="16"/>
  <c r="F197" i="16"/>
  <c r="E197" i="16"/>
  <c r="C197" i="16"/>
  <c r="B197" i="16"/>
  <c r="F196" i="16"/>
  <c r="E196" i="16"/>
  <c r="C196" i="16"/>
  <c r="B196" i="16"/>
  <c r="F195" i="16"/>
  <c r="E195" i="16"/>
  <c r="C195" i="16"/>
  <c r="B195" i="16"/>
  <c r="F194" i="16"/>
  <c r="E194" i="16"/>
  <c r="C194" i="16"/>
  <c r="B194" i="16"/>
  <c r="F193" i="16"/>
  <c r="E193" i="16"/>
  <c r="C193" i="16"/>
  <c r="B193" i="16"/>
  <c r="F192" i="16"/>
  <c r="E192" i="16"/>
  <c r="C192" i="16"/>
  <c r="B192" i="16"/>
  <c r="F191" i="16"/>
  <c r="E191" i="16"/>
  <c r="C191" i="16"/>
  <c r="B191" i="16"/>
  <c r="F190" i="16"/>
  <c r="E190" i="16"/>
  <c r="C190" i="16"/>
  <c r="B190" i="16"/>
  <c r="F189" i="16"/>
  <c r="E189" i="16"/>
  <c r="C189" i="16"/>
  <c r="B189" i="16"/>
  <c r="F188" i="16"/>
  <c r="E188" i="16"/>
  <c r="C188" i="16"/>
  <c r="B188" i="16"/>
  <c r="F187" i="16"/>
  <c r="E187" i="16"/>
  <c r="C187" i="16"/>
  <c r="B187" i="16"/>
  <c r="F186" i="16"/>
  <c r="E186" i="16"/>
  <c r="C186" i="16"/>
  <c r="B186" i="16"/>
  <c r="F185" i="16"/>
  <c r="E185" i="16"/>
  <c r="C185" i="16"/>
  <c r="B185" i="16"/>
  <c r="F184" i="16"/>
  <c r="E184" i="16"/>
  <c r="C184" i="16"/>
  <c r="B184" i="16"/>
  <c r="F183" i="16"/>
  <c r="E183" i="16"/>
  <c r="C183" i="16"/>
  <c r="B183" i="16"/>
  <c r="F182" i="16"/>
  <c r="E182" i="16"/>
  <c r="C182" i="16"/>
  <c r="B182" i="16"/>
  <c r="F181" i="16"/>
  <c r="E181" i="16"/>
  <c r="C181" i="16"/>
  <c r="B181" i="16"/>
  <c r="F180" i="16"/>
  <c r="E180" i="16"/>
  <c r="C180" i="16"/>
  <c r="B180" i="16"/>
  <c r="F179" i="16"/>
  <c r="E179" i="16"/>
  <c r="C179" i="16"/>
  <c r="B179" i="16"/>
  <c r="F178" i="16"/>
  <c r="E178" i="16"/>
  <c r="C178" i="16"/>
  <c r="B178" i="16"/>
  <c r="F177" i="16"/>
  <c r="E177" i="16"/>
  <c r="C177" i="16"/>
  <c r="B177" i="16"/>
  <c r="F176" i="16"/>
  <c r="E176" i="16"/>
  <c r="C176" i="16"/>
  <c r="B176" i="16"/>
  <c r="F175" i="16"/>
  <c r="E175" i="16"/>
  <c r="C175" i="16"/>
  <c r="B175" i="16"/>
  <c r="F174" i="16"/>
  <c r="E174" i="16"/>
  <c r="C174" i="16"/>
  <c r="B174" i="16"/>
  <c r="F173" i="16"/>
  <c r="E173" i="16"/>
  <c r="C173" i="16"/>
  <c r="B173" i="16"/>
  <c r="F172" i="16"/>
  <c r="E172" i="16"/>
  <c r="C172" i="16"/>
  <c r="B172" i="16"/>
  <c r="F171" i="16"/>
  <c r="E171" i="16"/>
  <c r="C171" i="16"/>
  <c r="B171" i="16"/>
  <c r="F170" i="16"/>
  <c r="E170" i="16"/>
  <c r="C170" i="16"/>
  <c r="B170" i="16"/>
  <c r="F169" i="16"/>
  <c r="E169" i="16"/>
  <c r="C169" i="16"/>
  <c r="B169" i="16"/>
  <c r="F168" i="16"/>
  <c r="E168" i="16"/>
  <c r="C168" i="16"/>
  <c r="B168" i="16"/>
  <c r="F167" i="16"/>
  <c r="E167" i="16"/>
  <c r="C167" i="16"/>
  <c r="B167" i="16"/>
  <c r="F166" i="16"/>
  <c r="E166" i="16"/>
  <c r="C166" i="16"/>
  <c r="B166" i="16"/>
  <c r="F165" i="16"/>
  <c r="E165" i="16"/>
  <c r="C165" i="16"/>
  <c r="B165" i="16"/>
  <c r="F164" i="16"/>
  <c r="E164" i="16"/>
  <c r="C164" i="16"/>
  <c r="B164" i="16"/>
  <c r="F163" i="16"/>
  <c r="E163" i="16"/>
  <c r="C163" i="16"/>
  <c r="B163" i="16"/>
  <c r="F162" i="16"/>
  <c r="E162" i="16"/>
  <c r="C162" i="16"/>
  <c r="B162" i="16"/>
  <c r="F161" i="16"/>
  <c r="E161" i="16"/>
  <c r="C161" i="16"/>
  <c r="B161" i="16"/>
  <c r="F160" i="16"/>
  <c r="E160" i="16"/>
  <c r="C160" i="16"/>
  <c r="B160" i="16"/>
  <c r="F159" i="16"/>
  <c r="E159" i="16"/>
  <c r="C159" i="16"/>
  <c r="B159" i="16"/>
  <c r="F158" i="16"/>
  <c r="E158" i="16"/>
  <c r="C158" i="16"/>
  <c r="B158" i="16"/>
  <c r="F157" i="16"/>
  <c r="E157" i="16"/>
  <c r="C157" i="16"/>
  <c r="B157" i="16"/>
  <c r="F156" i="16"/>
  <c r="E156" i="16"/>
  <c r="C156" i="16"/>
  <c r="B156" i="16"/>
  <c r="F155" i="16"/>
  <c r="E155" i="16"/>
  <c r="D155" i="16"/>
  <c r="C155" i="16"/>
  <c r="B155" i="16"/>
  <c r="F154" i="16"/>
  <c r="E154" i="16"/>
  <c r="C154" i="16"/>
  <c r="B154" i="16"/>
  <c r="F153" i="16"/>
  <c r="E153" i="16"/>
  <c r="C153" i="16"/>
  <c r="B153" i="16"/>
  <c r="F152" i="16"/>
  <c r="E152" i="16"/>
  <c r="C152" i="16"/>
  <c r="B152" i="16"/>
  <c r="F151" i="16"/>
  <c r="E151" i="16"/>
  <c r="C151" i="16"/>
  <c r="B151" i="16"/>
  <c r="F150" i="16"/>
  <c r="E150" i="16"/>
  <c r="C150" i="16"/>
  <c r="B150" i="16"/>
  <c r="F149" i="16"/>
  <c r="E149" i="16"/>
  <c r="C149" i="16"/>
  <c r="B149" i="16"/>
  <c r="F148" i="16"/>
  <c r="E148" i="16"/>
  <c r="C148" i="16"/>
  <c r="B148" i="16"/>
  <c r="F147" i="16"/>
  <c r="E147" i="16"/>
  <c r="C147" i="16"/>
  <c r="B147" i="16"/>
  <c r="F146" i="16"/>
  <c r="E146" i="16"/>
  <c r="C146" i="16"/>
  <c r="B146" i="16"/>
  <c r="F145" i="16"/>
  <c r="E145" i="16"/>
  <c r="C145" i="16"/>
  <c r="B145" i="16"/>
  <c r="F144" i="16"/>
  <c r="E144" i="16"/>
  <c r="C144" i="16"/>
  <c r="B144" i="16"/>
  <c r="F143" i="16"/>
  <c r="E143" i="16"/>
  <c r="C143" i="16"/>
  <c r="B143" i="16"/>
  <c r="F142" i="16"/>
  <c r="E142" i="16"/>
  <c r="C142" i="16"/>
  <c r="B142" i="16"/>
  <c r="F141" i="16"/>
  <c r="E141" i="16"/>
  <c r="C141" i="16"/>
  <c r="B141" i="16"/>
  <c r="F140" i="16"/>
  <c r="E140" i="16"/>
  <c r="C140" i="16"/>
  <c r="B140" i="16"/>
  <c r="F139" i="16"/>
  <c r="E139" i="16"/>
  <c r="C139" i="16"/>
  <c r="B139" i="16"/>
  <c r="F138" i="16"/>
  <c r="E138" i="16"/>
  <c r="C138" i="16"/>
  <c r="B138" i="16"/>
  <c r="F137" i="16"/>
  <c r="E137" i="16"/>
  <c r="C137" i="16"/>
  <c r="B137" i="16"/>
  <c r="F136" i="16"/>
  <c r="E136" i="16"/>
  <c r="C136" i="16"/>
  <c r="B136" i="16"/>
  <c r="F135" i="16"/>
  <c r="E135" i="16"/>
  <c r="C135" i="16"/>
  <c r="B135" i="16"/>
  <c r="F134" i="16"/>
  <c r="E134" i="16"/>
  <c r="C134" i="16"/>
  <c r="B134" i="16"/>
  <c r="F133" i="16"/>
  <c r="E133" i="16"/>
  <c r="C133" i="16"/>
  <c r="B133" i="16"/>
  <c r="F132" i="16"/>
  <c r="E132" i="16"/>
  <c r="C132" i="16"/>
  <c r="B132" i="16"/>
  <c r="F131" i="16"/>
  <c r="E131" i="16"/>
  <c r="C131" i="16"/>
  <c r="B131" i="16"/>
  <c r="F130" i="16"/>
  <c r="E130" i="16"/>
  <c r="C130" i="16"/>
  <c r="B130" i="16"/>
  <c r="F129" i="16"/>
  <c r="E129" i="16"/>
  <c r="C129" i="16"/>
  <c r="B129" i="16"/>
  <c r="F128" i="16"/>
  <c r="E128" i="16"/>
  <c r="C128" i="16"/>
  <c r="B128" i="16"/>
  <c r="F127" i="16"/>
  <c r="E127" i="16"/>
  <c r="C127" i="16"/>
  <c r="B127" i="16"/>
  <c r="F126" i="16"/>
  <c r="E126" i="16"/>
  <c r="C126" i="16"/>
  <c r="B126" i="16"/>
  <c r="F125" i="16"/>
  <c r="E125" i="16"/>
  <c r="C125" i="16"/>
  <c r="B125" i="16"/>
  <c r="F124" i="16"/>
  <c r="E124" i="16"/>
  <c r="C124" i="16"/>
  <c r="B124" i="16"/>
  <c r="F123" i="16"/>
  <c r="E123" i="16"/>
  <c r="C123" i="16"/>
  <c r="B123" i="16"/>
  <c r="F122" i="16"/>
  <c r="E122" i="16"/>
  <c r="C122" i="16"/>
  <c r="B122" i="16"/>
  <c r="F121" i="16"/>
  <c r="E121" i="16"/>
  <c r="C121" i="16"/>
  <c r="B121" i="16"/>
  <c r="F120" i="16"/>
  <c r="E120" i="16"/>
  <c r="C120" i="16"/>
  <c r="B120" i="16"/>
  <c r="F119" i="16"/>
  <c r="E119" i="16"/>
  <c r="C119" i="16"/>
  <c r="B119" i="16"/>
  <c r="F118" i="16"/>
  <c r="E118" i="16"/>
  <c r="C118" i="16"/>
  <c r="B118" i="16"/>
  <c r="F117" i="16"/>
  <c r="E117" i="16"/>
  <c r="C117" i="16"/>
  <c r="B117" i="16"/>
  <c r="F116" i="16"/>
  <c r="E116" i="16"/>
  <c r="C116" i="16"/>
  <c r="B116" i="16"/>
  <c r="F115" i="16"/>
  <c r="E115" i="16"/>
  <c r="C115" i="16"/>
  <c r="B115" i="16"/>
  <c r="F114" i="16"/>
  <c r="E114" i="16"/>
  <c r="C114" i="16"/>
  <c r="B114" i="16"/>
  <c r="F113" i="16"/>
  <c r="E113" i="16"/>
  <c r="C113" i="16"/>
  <c r="B113" i="16"/>
  <c r="F112" i="16"/>
  <c r="E112" i="16"/>
  <c r="C112" i="16"/>
  <c r="B112" i="16"/>
  <c r="F111" i="16"/>
  <c r="E111" i="16"/>
  <c r="C111" i="16"/>
  <c r="B111" i="16"/>
  <c r="F110" i="16"/>
  <c r="E110" i="16"/>
  <c r="C110" i="16"/>
  <c r="B110" i="16"/>
  <c r="F109" i="16"/>
  <c r="E109" i="16"/>
  <c r="C109" i="16"/>
  <c r="B109" i="16"/>
  <c r="F108" i="16"/>
  <c r="E108" i="16"/>
  <c r="C108" i="16"/>
  <c r="B108" i="16"/>
  <c r="F107" i="16"/>
  <c r="E107" i="16"/>
  <c r="C107" i="16"/>
  <c r="B107" i="16"/>
  <c r="F106" i="16"/>
  <c r="E106" i="16"/>
  <c r="C106" i="16"/>
  <c r="B106" i="16"/>
  <c r="F105" i="16"/>
  <c r="E105" i="16"/>
  <c r="C105" i="16"/>
  <c r="B105" i="16"/>
  <c r="F104" i="16"/>
  <c r="E104" i="16"/>
  <c r="C104" i="16"/>
  <c r="B104" i="16"/>
  <c r="F103" i="16"/>
  <c r="E103" i="16"/>
  <c r="C103" i="16"/>
  <c r="B103" i="16"/>
  <c r="F102" i="16"/>
  <c r="E102" i="16"/>
  <c r="C102" i="16"/>
  <c r="B102" i="16"/>
  <c r="F101" i="16"/>
  <c r="E101" i="16"/>
  <c r="C101" i="16"/>
  <c r="B101" i="16"/>
  <c r="F100" i="16"/>
  <c r="E100" i="16"/>
  <c r="D100" i="16"/>
  <c r="C100" i="16"/>
  <c r="B100" i="16"/>
  <c r="F99" i="16"/>
  <c r="E99" i="16"/>
  <c r="C99" i="16"/>
  <c r="B99" i="16"/>
  <c r="F98" i="16"/>
  <c r="E98" i="16"/>
  <c r="C98" i="16"/>
  <c r="B98" i="16"/>
  <c r="F97" i="16"/>
  <c r="E97" i="16"/>
  <c r="C97" i="16"/>
  <c r="B97" i="16"/>
  <c r="F96" i="16"/>
  <c r="E96" i="16"/>
  <c r="C96" i="16"/>
  <c r="B96" i="16"/>
  <c r="F95" i="16"/>
  <c r="E95" i="16"/>
  <c r="C95" i="16"/>
  <c r="B95" i="16"/>
  <c r="F94" i="16"/>
  <c r="E94" i="16"/>
  <c r="C94" i="16"/>
  <c r="B94" i="16"/>
  <c r="F93" i="16"/>
  <c r="E93" i="16"/>
  <c r="C93" i="16"/>
  <c r="B93" i="16"/>
  <c r="F92" i="16"/>
  <c r="E92" i="16"/>
  <c r="C92" i="16"/>
  <c r="B92" i="16"/>
  <c r="F91" i="16"/>
  <c r="E91" i="16"/>
  <c r="C91" i="16"/>
  <c r="B91" i="16"/>
  <c r="F90" i="16"/>
  <c r="E90" i="16"/>
  <c r="C90" i="16"/>
  <c r="B90" i="16"/>
  <c r="F89" i="16"/>
  <c r="E89" i="16"/>
  <c r="C89" i="16"/>
  <c r="B89" i="16"/>
  <c r="F88" i="16"/>
  <c r="E88" i="16"/>
  <c r="C88" i="16"/>
  <c r="B88" i="16"/>
  <c r="F87" i="16"/>
  <c r="E87" i="16"/>
  <c r="C87" i="16"/>
  <c r="B87" i="16"/>
  <c r="F86" i="16"/>
  <c r="E86" i="16"/>
  <c r="C86" i="16"/>
  <c r="B86" i="16"/>
  <c r="F85" i="16"/>
  <c r="E85" i="16"/>
  <c r="C85" i="16"/>
  <c r="B85" i="16"/>
  <c r="F84" i="16"/>
  <c r="E84" i="16"/>
  <c r="C84" i="16"/>
  <c r="B84" i="16"/>
  <c r="F83" i="16"/>
  <c r="E83" i="16"/>
  <c r="C83" i="16"/>
  <c r="B83" i="16"/>
  <c r="F82" i="16"/>
  <c r="E82" i="16"/>
  <c r="C82" i="16"/>
  <c r="B82" i="16"/>
  <c r="F81" i="16"/>
  <c r="E81" i="16"/>
  <c r="C81" i="16"/>
  <c r="B81" i="16"/>
  <c r="F80" i="16"/>
  <c r="E80" i="16"/>
  <c r="C80" i="16"/>
  <c r="B80" i="16"/>
  <c r="F79" i="16"/>
  <c r="E79" i="16"/>
  <c r="C79" i="16"/>
  <c r="B79" i="16"/>
  <c r="F78" i="16"/>
  <c r="E78" i="16"/>
  <c r="C78" i="16"/>
  <c r="B78" i="16"/>
  <c r="F77" i="16"/>
  <c r="E77" i="16"/>
  <c r="C77" i="16"/>
  <c r="B77" i="16"/>
  <c r="F76" i="16"/>
  <c r="E76" i="16"/>
  <c r="C76" i="16"/>
  <c r="B76" i="16"/>
  <c r="F75" i="16"/>
  <c r="E75" i="16"/>
  <c r="C75" i="16"/>
  <c r="B75" i="16"/>
  <c r="F74" i="16"/>
  <c r="E74" i="16"/>
  <c r="C74" i="16"/>
  <c r="B74" i="16"/>
  <c r="F73" i="16"/>
  <c r="E73" i="16"/>
  <c r="C73" i="16"/>
  <c r="B73" i="16"/>
  <c r="F72" i="16"/>
  <c r="E72" i="16"/>
  <c r="C72" i="16"/>
  <c r="B72" i="16"/>
  <c r="F71" i="16"/>
  <c r="E71" i="16"/>
  <c r="C71" i="16"/>
  <c r="B71" i="16"/>
  <c r="F70" i="16"/>
  <c r="E70" i="16"/>
  <c r="C70" i="16"/>
  <c r="B70" i="16"/>
  <c r="F69" i="16"/>
  <c r="E69" i="16"/>
  <c r="C69" i="16"/>
  <c r="B69" i="16"/>
  <c r="F68" i="16"/>
  <c r="E68" i="16"/>
  <c r="C68" i="16"/>
  <c r="B68" i="16"/>
  <c r="F67" i="16"/>
  <c r="E67" i="16"/>
  <c r="C67" i="16"/>
  <c r="B67" i="16"/>
  <c r="F66" i="16"/>
  <c r="E66" i="16"/>
  <c r="C66" i="16"/>
  <c r="B66" i="16"/>
  <c r="F65" i="16"/>
  <c r="E65" i="16"/>
  <c r="C65" i="16"/>
  <c r="B65" i="16"/>
  <c r="F64" i="16"/>
  <c r="E64" i="16"/>
  <c r="C64" i="16"/>
  <c r="B64" i="16"/>
  <c r="F63" i="16"/>
  <c r="E63" i="16"/>
  <c r="C63" i="16"/>
  <c r="B63" i="16"/>
  <c r="F62" i="16"/>
  <c r="E62" i="16"/>
  <c r="C62" i="16"/>
  <c r="B62" i="16"/>
  <c r="F61" i="16"/>
  <c r="E61" i="16"/>
  <c r="C61" i="16"/>
  <c r="B61" i="16"/>
  <c r="F60" i="16"/>
  <c r="E60" i="16"/>
  <c r="C60" i="16"/>
  <c r="B60" i="16"/>
  <c r="F59" i="16"/>
  <c r="E59" i="16"/>
  <c r="C59" i="16"/>
  <c r="B59" i="16"/>
  <c r="F58" i="16"/>
  <c r="E58" i="16"/>
  <c r="C58" i="16"/>
  <c r="B58" i="16"/>
  <c r="F57" i="16"/>
  <c r="E57" i="16"/>
  <c r="C57" i="16"/>
  <c r="B57" i="16"/>
  <c r="F56" i="16"/>
  <c r="E56" i="16"/>
  <c r="C56" i="16"/>
  <c r="B56" i="16"/>
  <c r="F55" i="16"/>
  <c r="E55" i="16"/>
  <c r="C55" i="16"/>
  <c r="B55" i="16"/>
  <c r="F54" i="16"/>
  <c r="E54" i="16"/>
  <c r="C54" i="16"/>
  <c r="B54" i="16"/>
  <c r="F53" i="16"/>
  <c r="E53" i="16"/>
  <c r="C53" i="16"/>
  <c r="B53" i="16"/>
  <c r="F52" i="16"/>
  <c r="E52" i="16"/>
  <c r="C52" i="16"/>
  <c r="B52" i="16"/>
  <c r="F51" i="16"/>
  <c r="E51" i="16"/>
  <c r="C51" i="16"/>
  <c r="B51" i="16"/>
  <c r="F50" i="16"/>
  <c r="E50" i="16"/>
  <c r="C50" i="16"/>
  <c r="B50" i="16"/>
  <c r="F49" i="16"/>
  <c r="E49" i="16"/>
  <c r="C49" i="16"/>
  <c r="B49" i="16"/>
  <c r="F48" i="16"/>
  <c r="E48" i="16"/>
  <c r="C48" i="16"/>
  <c r="B48" i="16"/>
  <c r="F47" i="16"/>
  <c r="E47" i="16"/>
  <c r="C47" i="16"/>
  <c r="B47" i="16"/>
  <c r="F46" i="16"/>
  <c r="E46" i="16"/>
  <c r="C46" i="16"/>
  <c r="B46" i="16"/>
  <c r="F45" i="16"/>
  <c r="E45" i="16"/>
  <c r="C45" i="16"/>
  <c r="B45" i="16"/>
  <c r="F44" i="16"/>
  <c r="E44" i="16"/>
  <c r="C44" i="16"/>
  <c r="B44" i="16"/>
  <c r="F43" i="16"/>
  <c r="E43" i="16"/>
  <c r="C43" i="16"/>
  <c r="B43" i="16"/>
  <c r="F42" i="16"/>
  <c r="E42" i="16"/>
  <c r="C42" i="16"/>
  <c r="B42" i="16"/>
  <c r="F41" i="16"/>
  <c r="E41" i="16"/>
  <c r="C41" i="16"/>
  <c r="B41" i="16"/>
  <c r="F40" i="16"/>
  <c r="E40" i="16"/>
  <c r="C40" i="16"/>
  <c r="B40" i="16"/>
  <c r="F39" i="16"/>
  <c r="E39" i="16"/>
  <c r="C39" i="16"/>
  <c r="B39" i="16"/>
  <c r="F38" i="16"/>
  <c r="E38" i="16"/>
  <c r="C38" i="16"/>
  <c r="B38" i="16"/>
  <c r="F37" i="16"/>
  <c r="E37" i="16"/>
  <c r="C37" i="16"/>
  <c r="B37" i="16"/>
  <c r="F36" i="16"/>
  <c r="E36" i="16"/>
  <c r="C36" i="16"/>
  <c r="B36" i="16"/>
  <c r="F35" i="16"/>
  <c r="E35" i="16"/>
  <c r="C35" i="16"/>
  <c r="B35" i="16"/>
  <c r="F34" i="16"/>
  <c r="E34" i="16"/>
  <c r="C34" i="16"/>
  <c r="B34" i="16"/>
  <c r="F33" i="16"/>
  <c r="E33" i="16"/>
  <c r="C33" i="16"/>
  <c r="B33" i="16"/>
  <c r="F32" i="16"/>
  <c r="E32" i="16"/>
  <c r="C32" i="16"/>
  <c r="B32" i="16"/>
  <c r="F31" i="16"/>
  <c r="E31" i="16"/>
  <c r="C31" i="16"/>
  <c r="B31" i="16"/>
  <c r="F30" i="16"/>
  <c r="E30" i="16"/>
  <c r="C30" i="16"/>
  <c r="B30" i="16"/>
  <c r="F29" i="16"/>
  <c r="E29" i="16"/>
  <c r="C29" i="16"/>
  <c r="B29" i="16"/>
  <c r="F28" i="16"/>
  <c r="E28" i="16"/>
  <c r="C28" i="16"/>
  <c r="B28" i="16"/>
  <c r="F27" i="16"/>
  <c r="E27" i="16"/>
  <c r="C27" i="16"/>
  <c r="B27" i="16"/>
  <c r="F26" i="16"/>
  <c r="E26" i="16"/>
  <c r="C26" i="16"/>
  <c r="B26" i="16"/>
  <c r="F25" i="16"/>
  <c r="E25" i="16"/>
  <c r="C25" i="16"/>
  <c r="B25" i="16"/>
  <c r="F24" i="16"/>
  <c r="E24" i="16"/>
  <c r="C24" i="16"/>
  <c r="B24" i="16"/>
  <c r="F23" i="16"/>
  <c r="E23" i="16"/>
  <c r="C23" i="16"/>
  <c r="B23" i="16"/>
  <c r="F22" i="16"/>
  <c r="E22" i="16"/>
  <c r="C22" i="16"/>
  <c r="B22" i="16"/>
  <c r="F21" i="16"/>
  <c r="E21" i="16"/>
  <c r="C21" i="16"/>
  <c r="B21" i="16"/>
  <c r="F20" i="16"/>
  <c r="E20" i="16"/>
  <c r="C20" i="16"/>
  <c r="B20" i="16"/>
  <c r="F19" i="16"/>
  <c r="E19" i="16"/>
  <c r="C19" i="16"/>
  <c r="B19" i="16"/>
  <c r="F18" i="16"/>
  <c r="E18" i="16"/>
  <c r="C18" i="16"/>
  <c r="B18" i="16"/>
  <c r="F17" i="16"/>
  <c r="E17" i="16"/>
  <c r="C17" i="16"/>
  <c r="B17" i="16"/>
  <c r="F16" i="16"/>
  <c r="E16" i="16"/>
  <c r="C16" i="16"/>
  <c r="B16" i="16"/>
  <c r="F15" i="16"/>
  <c r="E15" i="16"/>
  <c r="C15" i="16"/>
  <c r="B15" i="16"/>
  <c r="F14" i="16"/>
  <c r="E14" i="16"/>
  <c r="C14" i="16"/>
  <c r="B14" i="16"/>
  <c r="F13" i="16"/>
  <c r="E13" i="16"/>
  <c r="C13" i="16"/>
  <c r="B13" i="16"/>
  <c r="F12" i="16"/>
  <c r="E12" i="16"/>
  <c r="C12" i="16"/>
  <c r="B12" i="16"/>
  <c r="F11" i="16"/>
  <c r="E11" i="16"/>
  <c r="C11" i="16"/>
  <c r="B11" i="16"/>
  <c r="F10" i="16"/>
  <c r="E10" i="16"/>
  <c r="C10" i="16"/>
  <c r="B10" i="16"/>
  <c r="F9" i="16"/>
  <c r="E9" i="16"/>
  <c r="C9" i="16"/>
  <c r="B9" i="16"/>
  <c r="F8" i="16"/>
  <c r="E8" i="16"/>
  <c r="C8" i="16"/>
  <c r="B8" i="16"/>
  <c r="F7" i="16"/>
  <c r="E7" i="16"/>
  <c r="C7" i="16"/>
  <c r="B7" i="16"/>
  <c r="F6" i="16"/>
  <c r="E6" i="16"/>
  <c r="C6" i="16"/>
  <c r="B6" i="16"/>
  <c r="F5" i="16"/>
  <c r="E5" i="16"/>
  <c r="C5" i="16"/>
  <c r="B5" i="16"/>
  <c r="F4" i="16"/>
  <c r="E4" i="16"/>
  <c r="C4" i="16"/>
  <c r="B4" i="16"/>
  <c r="F3" i="16"/>
  <c r="E3" i="16"/>
  <c r="C3" i="16"/>
  <c r="B3" i="16"/>
  <c r="F2" i="16"/>
  <c r="E2" i="16"/>
  <c r="C2" i="16"/>
  <c r="B2" i="16"/>
  <c r="AP1" i="1"/>
  <c r="AM5" i="1"/>
  <c r="AN5" i="1"/>
  <c r="AM6" i="1"/>
  <c r="AN6" i="1"/>
  <c r="AM7" i="1"/>
  <c r="AN7" i="1"/>
  <c r="AM8" i="1"/>
  <c r="AN8" i="1"/>
  <c r="AM9" i="1"/>
  <c r="AN9" i="1"/>
  <c r="AM10" i="1"/>
  <c r="AN10" i="1"/>
  <c r="AM11" i="1"/>
  <c r="AN11" i="1"/>
  <c r="AM12" i="1"/>
  <c r="AN12" i="1"/>
  <c r="AM13" i="1"/>
  <c r="AN13" i="1"/>
  <c r="AM14" i="1"/>
  <c r="AN14" i="1"/>
  <c r="AM15" i="1"/>
  <c r="AN15" i="1"/>
  <c r="AM16" i="1"/>
  <c r="AN16" i="1"/>
  <c r="AM17" i="1"/>
  <c r="AN17" i="1"/>
  <c r="AM18" i="1"/>
  <c r="AN18" i="1"/>
  <c r="AM19" i="1"/>
  <c r="AN19" i="1"/>
  <c r="AM20" i="1"/>
  <c r="AN20" i="1"/>
  <c r="AM21" i="1"/>
  <c r="AN21" i="1"/>
  <c r="AM22" i="1"/>
  <c r="AN22" i="1"/>
  <c r="AM23" i="1"/>
  <c r="AN23" i="1"/>
  <c r="AM24" i="1"/>
  <c r="AN24" i="1"/>
  <c r="AM25" i="1"/>
  <c r="AN25" i="1"/>
  <c r="AM26" i="1"/>
  <c r="AN26" i="1"/>
  <c r="AM27" i="1"/>
  <c r="AN27" i="1"/>
  <c r="AM28" i="1"/>
  <c r="AN28" i="1"/>
  <c r="AM29" i="1"/>
  <c r="AN29" i="1"/>
  <c r="AM30" i="1"/>
  <c r="AN30" i="1"/>
  <c r="AM31" i="1"/>
  <c r="AN31" i="1"/>
  <c r="AM32" i="1"/>
  <c r="AN32" i="1"/>
  <c r="AM33" i="1"/>
  <c r="AN33" i="1"/>
  <c r="AM34" i="1"/>
  <c r="AN34" i="1"/>
  <c r="AM35" i="1"/>
  <c r="AN35" i="1"/>
  <c r="AM36" i="1"/>
  <c r="AN36" i="1"/>
  <c r="AM37" i="1"/>
  <c r="AN37" i="1"/>
  <c r="AM38" i="1"/>
  <c r="AN38" i="1"/>
  <c r="AM39" i="1"/>
  <c r="AN39" i="1"/>
  <c r="AM40" i="1"/>
  <c r="AN40" i="1"/>
  <c r="AM41" i="1"/>
  <c r="AN41" i="1"/>
  <c r="AM42" i="1"/>
  <c r="AN42" i="1"/>
  <c r="AM43" i="1"/>
  <c r="AN43" i="1"/>
  <c r="AM44" i="1"/>
  <c r="AN44" i="1"/>
  <c r="AM45" i="1"/>
  <c r="AN45" i="1"/>
  <c r="AM46" i="1"/>
  <c r="AN46" i="1"/>
  <c r="AM47" i="1"/>
  <c r="AN47" i="1"/>
  <c r="AM48" i="1"/>
  <c r="AN48" i="1"/>
  <c r="AM49" i="1"/>
  <c r="AN49" i="1"/>
  <c r="AM50" i="1"/>
  <c r="AN50" i="1"/>
  <c r="AM51" i="1"/>
  <c r="AN51" i="1"/>
  <c r="AM52" i="1"/>
  <c r="AN52" i="1"/>
  <c r="AM53" i="1"/>
  <c r="AN53" i="1"/>
  <c r="AM54" i="1"/>
  <c r="AN54" i="1"/>
  <c r="AM55" i="1"/>
  <c r="AN55" i="1"/>
  <c r="AM56" i="1"/>
  <c r="AN56" i="1"/>
  <c r="AM57" i="1"/>
  <c r="AN57" i="1"/>
  <c r="AM58" i="1"/>
  <c r="AN58" i="1"/>
  <c r="AM59" i="1"/>
  <c r="AN59" i="1"/>
  <c r="AM60" i="1"/>
  <c r="AN60" i="1"/>
  <c r="AM61" i="1"/>
  <c r="AN61" i="1"/>
  <c r="AM62" i="1"/>
  <c r="AN62" i="1"/>
  <c r="AM63" i="1"/>
  <c r="AN63" i="1"/>
  <c r="AM64" i="1"/>
  <c r="AN64" i="1"/>
  <c r="AM65" i="1"/>
  <c r="AN65" i="1"/>
  <c r="AM66" i="1"/>
  <c r="AN66" i="1"/>
  <c r="AM67" i="1"/>
  <c r="AN67" i="1"/>
  <c r="AM68" i="1"/>
  <c r="AN68" i="1"/>
  <c r="AM69" i="1"/>
  <c r="AN69" i="1"/>
  <c r="AM70" i="1"/>
  <c r="AN70" i="1"/>
  <c r="AM71" i="1"/>
  <c r="AN71" i="1"/>
  <c r="AM72" i="1"/>
  <c r="AN72" i="1"/>
  <c r="AM73" i="1"/>
  <c r="AN73" i="1"/>
  <c r="AM74" i="1"/>
  <c r="AN74" i="1"/>
  <c r="AM75" i="1"/>
  <c r="AN75" i="1"/>
  <c r="AM76" i="1"/>
  <c r="AN76" i="1"/>
  <c r="AM77" i="1"/>
  <c r="AN77" i="1"/>
  <c r="AM78" i="1"/>
  <c r="AN78" i="1"/>
  <c r="AM79" i="1"/>
  <c r="AN79" i="1"/>
  <c r="AM80" i="1"/>
  <c r="AN80" i="1"/>
  <c r="AM81" i="1"/>
  <c r="AN81" i="1"/>
  <c r="AM82" i="1"/>
  <c r="AN82" i="1"/>
  <c r="AM83" i="1"/>
  <c r="AN83" i="1"/>
  <c r="AM84" i="1"/>
  <c r="AN84" i="1"/>
  <c r="AM85" i="1"/>
  <c r="AN85" i="1"/>
  <c r="AM86" i="1"/>
  <c r="AN86" i="1"/>
  <c r="AM87" i="1"/>
  <c r="AN87" i="1"/>
  <c r="AM88" i="1"/>
  <c r="AN88" i="1"/>
  <c r="AM89" i="1"/>
  <c r="AN89" i="1"/>
  <c r="AM90" i="1"/>
  <c r="AN90" i="1"/>
  <c r="AM91" i="1"/>
  <c r="AN91" i="1"/>
  <c r="AM92" i="1"/>
  <c r="AN92" i="1"/>
  <c r="AM93" i="1"/>
  <c r="AN93" i="1"/>
  <c r="AM94" i="1"/>
  <c r="AN94" i="1"/>
  <c r="AM95" i="1"/>
  <c r="AN95" i="1"/>
  <c r="AM96" i="1"/>
  <c r="AN96" i="1"/>
  <c r="AM97" i="1"/>
  <c r="AN97" i="1"/>
  <c r="AM98" i="1"/>
  <c r="AN98" i="1"/>
  <c r="AM99" i="1"/>
  <c r="AN99" i="1"/>
  <c r="AM100" i="1"/>
  <c r="AN100" i="1"/>
  <c r="AM101" i="1"/>
  <c r="AN101" i="1"/>
  <c r="AM102" i="1"/>
  <c r="AN102" i="1"/>
  <c r="AM103" i="1"/>
  <c r="AN103" i="1"/>
  <c r="AM104" i="1"/>
  <c r="AN104" i="1"/>
  <c r="AM105" i="1"/>
  <c r="AN105" i="1"/>
  <c r="AM106" i="1"/>
  <c r="AN106" i="1"/>
  <c r="AM107" i="1"/>
  <c r="AN107" i="1"/>
  <c r="AM108" i="1"/>
  <c r="AN108" i="1"/>
  <c r="AM109" i="1"/>
  <c r="AN109" i="1"/>
  <c r="AM110" i="1"/>
  <c r="AN110" i="1"/>
  <c r="AM111" i="1"/>
  <c r="AN111" i="1"/>
  <c r="AM112" i="1"/>
  <c r="AN112" i="1"/>
  <c r="AM113" i="1"/>
  <c r="AN113" i="1"/>
  <c r="AM114" i="1"/>
  <c r="AN114" i="1"/>
  <c r="AM115" i="1"/>
  <c r="AN115" i="1"/>
  <c r="AM116" i="1"/>
  <c r="AN116" i="1"/>
  <c r="AM117" i="1"/>
  <c r="AN117" i="1"/>
  <c r="AM118" i="1"/>
  <c r="AN118" i="1"/>
  <c r="AM119" i="1"/>
  <c r="AN119" i="1"/>
  <c r="AM120" i="1"/>
  <c r="AN120" i="1"/>
  <c r="AM121" i="1"/>
  <c r="AN121" i="1"/>
  <c r="AM122" i="1"/>
  <c r="AN122" i="1"/>
  <c r="AM123" i="1"/>
  <c r="AN123" i="1"/>
  <c r="AM124" i="1"/>
  <c r="AN124" i="1"/>
  <c r="AM125" i="1"/>
  <c r="AN125" i="1"/>
  <c r="AM126" i="1"/>
  <c r="AN126" i="1"/>
  <c r="AM127" i="1"/>
  <c r="AN127" i="1"/>
  <c r="AM128" i="1"/>
  <c r="AN128" i="1"/>
  <c r="AM129" i="1"/>
  <c r="AN129" i="1"/>
  <c r="AM130" i="1"/>
  <c r="AN130" i="1"/>
  <c r="AM131" i="1"/>
  <c r="AN131" i="1"/>
  <c r="AM132" i="1"/>
  <c r="AN132" i="1"/>
  <c r="AM133" i="1"/>
  <c r="AN133" i="1"/>
  <c r="AM134" i="1"/>
  <c r="AN134" i="1"/>
  <c r="AM135" i="1"/>
  <c r="AN135" i="1"/>
  <c r="AM136" i="1"/>
  <c r="AN136" i="1"/>
  <c r="AM137" i="1"/>
  <c r="AN137" i="1"/>
  <c r="AM138" i="1"/>
  <c r="AN138" i="1"/>
  <c r="AM139" i="1"/>
  <c r="AN139" i="1"/>
  <c r="AM140" i="1"/>
  <c r="AN140" i="1"/>
  <c r="AM141" i="1"/>
  <c r="AN141" i="1"/>
  <c r="AM142" i="1"/>
  <c r="AN142" i="1"/>
  <c r="AM143" i="1"/>
  <c r="AN143" i="1"/>
  <c r="AM144" i="1"/>
  <c r="AN144" i="1"/>
  <c r="AM145" i="1"/>
  <c r="AN145" i="1"/>
  <c r="AM146" i="1"/>
  <c r="AN146" i="1"/>
  <c r="AM147" i="1"/>
  <c r="AN147" i="1"/>
  <c r="AM148" i="1"/>
  <c r="AN148" i="1"/>
  <c r="AM149" i="1"/>
  <c r="AN149" i="1"/>
  <c r="AM150" i="1"/>
  <c r="AN150" i="1"/>
  <c r="AM151" i="1"/>
  <c r="AN151" i="1"/>
  <c r="AM152" i="1"/>
  <c r="AN152" i="1"/>
  <c r="AM153" i="1"/>
  <c r="AN153" i="1"/>
  <c r="AM154" i="1"/>
  <c r="AN154" i="1"/>
  <c r="AM155" i="1"/>
  <c r="AN155" i="1"/>
  <c r="AM156" i="1"/>
  <c r="AN156" i="1"/>
  <c r="AM157" i="1"/>
  <c r="AN157" i="1"/>
  <c r="AM158" i="1"/>
  <c r="AN158" i="1"/>
  <c r="AM159" i="1"/>
  <c r="AN159" i="1"/>
  <c r="AM160" i="1"/>
  <c r="AN160" i="1"/>
  <c r="AM161" i="1"/>
  <c r="AN161" i="1"/>
  <c r="AM162" i="1"/>
  <c r="AN162" i="1"/>
  <c r="AM163" i="1"/>
  <c r="AN163" i="1"/>
  <c r="AM164" i="1"/>
  <c r="AN164" i="1"/>
  <c r="AM165" i="1"/>
  <c r="AN165" i="1"/>
  <c r="AM166" i="1"/>
  <c r="AN166" i="1"/>
  <c r="AM167" i="1"/>
  <c r="AN167" i="1"/>
  <c r="AM168" i="1"/>
  <c r="AN168" i="1"/>
  <c r="AM169" i="1"/>
  <c r="AN169" i="1"/>
  <c r="AM170" i="1"/>
  <c r="AN170" i="1"/>
  <c r="AM171" i="1"/>
  <c r="AN171" i="1"/>
  <c r="AM172" i="1"/>
  <c r="AN172" i="1"/>
  <c r="AM173" i="1"/>
  <c r="AN173" i="1"/>
  <c r="AM174" i="1"/>
  <c r="AN174" i="1"/>
  <c r="AM175" i="1"/>
  <c r="AN175" i="1"/>
  <c r="AM176" i="1"/>
  <c r="AN176" i="1"/>
  <c r="AM177" i="1"/>
  <c r="AN177" i="1"/>
  <c r="AM178" i="1"/>
  <c r="AN178" i="1"/>
  <c r="AM179" i="1"/>
  <c r="AN179" i="1"/>
  <c r="AM180" i="1"/>
  <c r="AN180" i="1"/>
  <c r="AM181" i="1"/>
  <c r="AN181" i="1"/>
  <c r="AM182" i="1"/>
  <c r="AN182" i="1"/>
  <c r="AM183" i="1"/>
  <c r="AN183" i="1"/>
  <c r="AM184" i="1"/>
  <c r="AN184" i="1"/>
  <c r="AM185" i="1"/>
  <c r="AN185" i="1"/>
  <c r="AM186" i="1"/>
  <c r="AN186" i="1"/>
  <c r="AM187" i="1"/>
  <c r="AN187" i="1"/>
  <c r="AM188" i="1"/>
  <c r="AN188" i="1"/>
  <c r="AM189" i="1"/>
  <c r="AN189" i="1"/>
  <c r="AM190" i="1"/>
  <c r="AN190" i="1"/>
  <c r="AM191" i="1"/>
  <c r="AN191" i="1"/>
  <c r="AM192" i="1"/>
  <c r="AN192" i="1"/>
  <c r="AM193" i="1"/>
  <c r="AN193" i="1"/>
  <c r="AM194" i="1"/>
  <c r="AN194" i="1"/>
  <c r="AM195" i="1"/>
  <c r="AN195" i="1"/>
  <c r="AM196" i="1"/>
  <c r="AN196" i="1"/>
  <c r="AM197" i="1"/>
  <c r="AN197" i="1"/>
  <c r="AM198" i="1"/>
  <c r="AN198" i="1"/>
  <c r="AM199" i="1"/>
  <c r="AN199" i="1"/>
  <c r="AM200" i="1"/>
  <c r="AN200" i="1"/>
  <c r="AM201" i="1"/>
  <c r="AN201" i="1"/>
  <c r="AM202" i="1"/>
  <c r="AN202" i="1"/>
  <c r="AM203" i="1"/>
  <c r="AN203" i="1"/>
  <c r="AM204" i="1"/>
  <c r="AN204" i="1"/>
  <c r="AM205" i="1"/>
  <c r="AN205" i="1"/>
  <c r="AM206" i="1"/>
  <c r="AN206" i="1"/>
  <c r="AM207" i="1"/>
  <c r="AN207" i="1"/>
  <c r="AM208" i="1"/>
  <c r="AN208" i="1"/>
  <c r="AM209" i="1"/>
  <c r="AN209" i="1"/>
  <c r="AM210" i="1"/>
  <c r="AN210" i="1"/>
  <c r="AM211" i="1"/>
  <c r="AN211" i="1"/>
  <c r="AM212" i="1"/>
  <c r="AN212" i="1"/>
  <c r="AM213" i="1"/>
  <c r="AN213" i="1"/>
  <c r="AM214" i="1"/>
  <c r="AN214" i="1"/>
  <c r="AM215" i="1"/>
  <c r="AN215" i="1"/>
  <c r="AM216" i="1"/>
  <c r="AN216" i="1"/>
  <c r="AM217" i="1"/>
  <c r="AN217" i="1"/>
  <c r="AM218" i="1"/>
  <c r="AN218" i="1"/>
  <c r="AM219" i="1"/>
  <c r="AN219" i="1"/>
  <c r="AM220" i="1"/>
  <c r="AN220" i="1"/>
  <c r="AM221" i="1"/>
  <c r="AN221" i="1"/>
  <c r="AM222" i="1"/>
  <c r="AN222" i="1"/>
  <c r="AM223" i="1"/>
  <c r="AN223" i="1"/>
  <c r="AM224" i="1"/>
  <c r="AN224" i="1"/>
  <c r="AM225" i="1"/>
  <c r="AN225" i="1"/>
  <c r="AM226" i="1"/>
  <c r="AN226" i="1"/>
  <c r="AM227" i="1"/>
  <c r="AN227" i="1"/>
  <c r="AM228" i="1"/>
  <c r="AN228" i="1"/>
  <c r="AM229" i="1"/>
  <c r="AN229" i="1"/>
  <c r="AM230" i="1"/>
  <c r="AN230" i="1"/>
  <c r="AM231" i="1"/>
  <c r="AN231" i="1"/>
  <c r="AM232" i="1"/>
  <c r="AN232" i="1"/>
  <c r="AM233" i="1"/>
  <c r="AN233" i="1"/>
  <c r="AM234" i="1"/>
  <c r="AN234" i="1"/>
  <c r="AM235" i="1"/>
  <c r="AN235" i="1"/>
  <c r="AM236" i="1"/>
  <c r="AN236" i="1"/>
  <c r="AM237" i="1"/>
  <c r="AN237" i="1"/>
  <c r="AM238" i="1"/>
  <c r="AN238" i="1"/>
  <c r="AM239" i="1"/>
  <c r="AN239" i="1"/>
  <c r="AM240" i="1"/>
  <c r="AN240" i="1"/>
  <c r="AM241" i="1"/>
  <c r="AN241" i="1"/>
  <c r="AM242" i="1"/>
  <c r="AN242" i="1"/>
  <c r="D190" i="16" l="1"/>
  <c r="D33" i="16"/>
  <c r="D86" i="16"/>
  <c r="D136" i="16"/>
  <c r="D89" i="16"/>
  <c r="D107" i="16"/>
  <c r="D8" i="16"/>
  <c r="D45" i="16"/>
  <c r="D113" i="16"/>
  <c r="D51" i="16"/>
  <c r="D73" i="16"/>
  <c r="D164" i="16"/>
  <c r="D181" i="16"/>
  <c r="D82" i="16"/>
  <c r="D7" i="16"/>
  <c r="D83" i="16"/>
  <c r="D191" i="16"/>
  <c r="D131" i="16"/>
  <c r="D75" i="16"/>
  <c r="D236" i="16"/>
  <c r="D31" i="16"/>
  <c r="D22" i="16"/>
  <c r="D47" i="16"/>
  <c r="D203" i="16"/>
  <c r="D211" i="16"/>
  <c r="D145" i="16"/>
  <c r="D126" i="16"/>
  <c r="D193" i="16"/>
  <c r="D151" i="16"/>
  <c r="D127" i="16"/>
  <c r="D175" i="16"/>
  <c r="D177" i="16"/>
  <c r="D28" i="16"/>
  <c r="D157" i="16"/>
  <c r="D9" i="16"/>
  <c r="D12" i="16"/>
  <c r="D13" i="16"/>
  <c r="D208" i="16"/>
  <c r="D209" i="16"/>
  <c r="D48" i="16"/>
  <c r="D201" i="16"/>
  <c r="D46" i="16"/>
  <c r="D163" i="16"/>
  <c r="D110" i="16"/>
  <c r="D76" i="16"/>
  <c r="D219" i="16"/>
  <c r="D40" i="16"/>
  <c r="D166" i="16"/>
  <c r="D195" i="16"/>
  <c r="D57" i="16"/>
  <c r="D81" i="16"/>
  <c r="D38" i="16"/>
  <c r="D96" i="16"/>
  <c r="D133" i="16"/>
  <c r="D6" i="16"/>
  <c r="D77" i="16"/>
  <c r="D101" i="16"/>
  <c r="D119" i="16"/>
  <c r="D37" i="16"/>
  <c r="D148" i="16"/>
  <c r="D95" i="16"/>
  <c r="D149" i="16"/>
  <c r="D41" i="16"/>
  <c r="D60" i="16"/>
  <c r="D53" i="16"/>
  <c r="D184" i="16"/>
  <c r="D129" i="16"/>
  <c r="D187" i="16"/>
  <c r="D105" i="16"/>
  <c r="D5" i="16"/>
  <c r="D116" i="16"/>
  <c r="D230" i="16"/>
  <c r="D72" i="16"/>
  <c r="D214" i="16"/>
  <c r="D44" i="16"/>
  <c r="D78" i="16"/>
  <c r="D61" i="16"/>
  <c r="D93" i="16"/>
  <c r="D56" i="16"/>
  <c r="D170" i="16"/>
  <c r="D58" i="16"/>
  <c r="D25" i="16"/>
  <c r="D167" i="16"/>
  <c r="D104" i="16"/>
  <c r="D21" i="16"/>
  <c r="D64" i="16"/>
  <c r="D152" i="16"/>
  <c r="D55" i="16"/>
  <c r="D59" i="16"/>
  <c r="D103" i="16"/>
  <c r="D158" i="16"/>
  <c r="D224" i="16"/>
  <c r="D120" i="16"/>
  <c r="D79" i="16"/>
  <c r="D68" i="16"/>
  <c r="D84" i="16"/>
  <c r="D169" i="16"/>
  <c r="D226" i="16"/>
  <c r="D139" i="16"/>
  <c r="D159" i="16"/>
  <c r="D140" i="16"/>
  <c r="D29" i="16"/>
  <c r="D217" i="16"/>
  <c r="D198" i="16"/>
  <c r="D85" i="16"/>
  <c r="D124" i="16"/>
  <c r="D192" i="16"/>
  <c r="D153" i="16"/>
  <c r="D212" i="16"/>
  <c r="D237" i="16"/>
  <c r="D122" i="16"/>
  <c r="D11" i="16"/>
  <c r="D156" i="16"/>
  <c r="D90" i="16"/>
  <c r="D134" i="16"/>
  <c r="D182" i="16"/>
  <c r="D71" i="16"/>
  <c r="D3" i="16"/>
  <c r="D92" i="16"/>
  <c r="D39" i="16"/>
  <c r="D118" i="16"/>
  <c r="D111" i="16"/>
  <c r="D228" i="16"/>
  <c r="D65" i="16"/>
  <c r="D188" i="16"/>
  <c r="D32" i="16"/>
  <c r="D180" i="16"/>
  <c r="D138" i="16"/>
  <c r="D186" i="16"/>
  <c r="D114" i="16"/>
  <c r="D54" i="16"/>
  <c r="D70" i="16"/>
  <c r="D143" i="16"/>
  <c r="D205" i="16"/>
  <c r="D14" i="16"/>
  <c r="D144" i="16"/>
  <c r="D194" i="16"/>
  <c r="D24" i="16"/>
  <c r="D52" i="16"/>
  <c r="D30" i="16"/>
  <c r="D210" i="16"/>
  <c r="D231" i="16"/>
  <c r="D117" i="16"/>
  <c r="D189" i="16"/>
  <c r="D234" i="16"/>
  <c r="D178" i="16"/>
  <c r="D17" i="16"/>
  <c r="D202" i="16"/>
  <c r="D172" i="16"/>
  <c r="D112" i="16"/>
  <c r="D185" i="16"/>
  <c r="D67" i="16"/>
  <c r="D223" i="16"/>
  <c r="D235" i="16"/>
  <c r="D165" i="16"/>
  <c r="D215" i="16"/>
  <c r="D162" i="16"/>
  <c r="D62" i="16"/>
  <c r="D218" i="16"/>
  <c r="D132" i="16"/>
  <c r="D171" i="16"/>
  <c r="D200" i="16"/>
  <c r="D227" i="16"/>
  <c r="D15" i="16"/>
  <c r="D168" i="16"/>
  <c r="D229" i="16"/>
  <c r="D173" i="16"/>
  <c r="D174" i="16"/>
  <c r="D197" i="16"/>
  <c r="D87" i="16"/>
  <c r="D216" i="16"/>
  <c r="D97" i="16"/>
  <c r="D179" i="16"/>
  <c r="D66" i="16"/>
  <c r="D176" i="16"/>
  <c r="D233" i="16"/>
  <c r="D27" i="16"/>
  <c r="D50" i="16"/>
  <c r="D94" i="16"/>
  <c r="D34" i="16"/>
  <c r="D10" i="16"/>
  <c r="D106" i="16"/>
  <c r="D19" i="16"/>
  <c r="D204" i="16"/>
  <c r="D183" i="16"/>
  <c r="D220" i="16"/>
  <c r="D232" i="16"/>
  <c r="D88" i="16"/>
  <c r="D142" i="16"/>
  <c r="D108" i="16"/>
  <c r="D36" i="16"/>
  <c r="D69" i="16"/>
  <c r="D102" i="16"/>
  <c r="D199" i="16"/>
  <c r="D18" i="16"/>
  <c r="D207" i="16"/>
  <c r="D4" i="16"/>
  <c r="D26" i="16"/>
  <c r="D160" i="16"/>
  <c r="D91" i="16"/>
  <c r="D206" i="16"/>
  <c r="D98" i="16"/>
  <c r="D23" i="16"/>
  <c r="D130" i="16" l="1"/>
  <c r="D63" i="16"/>
  <c r="D43" i="16"/>
  <c r="D121" i="16"/>
  <c r="D225" i="16"/>
  <c r="D20" i="16"/>
  <c r="D109" i="16"/>
  <c r="D49" i="16"/>
  <c r="D115" i="16"/>
  <c r="D147" i="16"/>
  <c r="D80" i="16"/>
  <c r="D2" i="16"/>
  <c r="D16" i="16"/>
  <c r="D42" i="16"/>
  <c r="D74" i="16"/>
  <c r="D99" i="16"/>
  <c r="D222" i="16"/>
  <c r="D146" i="16"/>
  <c r="D154" i="16"/>
  <c r="D150" i="16"/>
  <c r="D128" i="16"/>
  <c r="D135" i="16"/>
  <c r="D141" i="16"/>
  <c r="D137" i="16"/>
  <c r="D221" i="16" l="1"/>
  <c r="D123" i="16"/>
  <c r="D35" i="16"/>
  <c r="D161" i="16"/>
  <c r="D196" i="16"/>
  <c r="D125" i="16"/>
  <c r="D213" i="16"/>
</calcChain>
</file>

<file path=xl/sharedStrings.xml><?xml version="1.0" encoding="utf-8"?>
<sst xmlns="http://schemas.openxmlformats.org/spreadsheetml/2006/main" count="529" uniqueCount="291">
  <si>
    <t>部门名称</t>
  </si>
  <si>
    <t>年</t>
  </si>
  <si>
    <t>月份</t>
  </si>
  <si>
    <t>人事编号</t>
  </si>
  <si>
    <t>姓名</t>
  </si>
  <si>
    <t>岗位</t>
  </si>
  <si>
    <t>薪级</t>
  </si>
  <si>
    <t>津贴</t>
  </si>
  <si>
    <t>岗贴</t>
  </si>
  <si>
    <t>职贴</t>
  </si>
  <si>
    <t>保留补贴</t>
  </si>
  <si>
    <t>房贴</t>
  </si>
  <si>
    <t>特贴</t>
  </si>
  <si>
    <t>其他津贴</t>
  </si>
  <si>
    <t>保留</t>
  </si>
  <si>
    <t>独子</t>
  </si>
  <si>
    <t>校贴</t>
  </si>
  <si>
    <t>劳酬</t>
  </si>
  <si>
    <t>其他</t>
  </si>
  <si>
    <t>合计</t>
  </si>
  <si>
    <t>房租</t>
  </si>
  <si>
    <t>水费</t>
  </si>
  <si>
    <t>电费</t>
  </si>
  <si>
    <t>失业险</t>
  </si>
  <si>
    <t>税费</t>
  </si>
  <si>
    <t>会费</t>
  </si>
  <si>
    <t>汇款</t>
  </si>
  <si>
    <t>扣保险费</t>
  </si>
  <si>
    <t>停薪</t>
  </si>
  <si>
    <t>电视</t>
  </si>
  <si>
    <t>公积金</t>
  </si>
  <si>
    <t>清洁费</t>
  </si>
  <si>
    <t>其他1</t>
  </si>
  <si>
    <t>总扣</t>
  </si>
  <si>
    <t>应发</t>
  </si>
  <si>
    <t>上尾</t>
  </si>
  <si>
    <t>本尾</t>
  </si>
  <si>
    <t>实发</t>
  </si>
  <si>
    <t>00007283</t>
  </si>
  <si>
    <t>00007370</t>
  </si>
  <si>
    <t>00007375</t>
  </si>
  <si>
    <t>00007483</t>
  </si>
  <si>
    <t>00007525</t>
  </si>
  <si>
    <t>00007612</t>
  </si>
  <si>
    <t>00007681</t>
  </si>
  <si>
    <t>00007720</t>
  </si>
  <si>
    <t>00007774</t>
  </si>
  <si>
    <t>00007776</t>
  </si>
  <si>
    <t>00007813</t>
  </si>
  <si>
    <t>00007815</t>
  </si>
  <si>
    <t>00007817</t>
  </si>
  <si>
    <t>00007818</t>
  </si>
  <si>
    <t>00007907</t>
  </si>
  <si>
    <t>00008034</t>
  </si>
  <si>
    <t>00008035</t>
  </si>
  <si>
    <t>00008036</t>
  </si>
  <si>
    <t>00008088</t>
  </si>
  <si>
    <t>00008094</t>
  </si>
  <si>
    <t>00008288</t>
  </si>
  <si>
    <t>00008413</t>
  </si>
  <si>
    <t>00008414</t>
  </si>
  <si>
    <t>00008415</t>
  </si>
  <si>
    <t>00008416</t>
  </si>
  <si>
    <t>00008417</t>
  </si>
  <si>
    <t>00008498</t>
  </si>
  <si>
    <t>00008820</t>
  </si>
  <si>
    <t>00008898</t>
  </si>
  <si>
    <t>00008921</t>
  </si>
  <si>
    <t>00008996</t>
  </si>
  <si>
    <t>00009234</t>
  </si>
  <si>
    <t>00009235</t>
  </si>
  <si>
    <t>00009305</t>
  </si>
  <si>
    <t>00009334</t>
  </si>
  <si>
    <t>00009377</t>
  </si>
  <si>
    <t>00009454</t>
  </si>
  <si>
    <t>00009460</t>
  </si>
  <si>
    <t>00009650</t>
  </si>
  <si>
    <t>00009654</t>
  </si>
  <si>
    <t>00009667</t>
  </si>
  <si>
    <t>00009671</t>
  </si>
  <si>
    <t>00009682</t>
  </si>
  <si>
    <t>00009683</t>
  </si>
  <si>
    <t>00009705</t>
  </si>
  <si>
    <t>00009739</t>
  </si>
  <si>
    <t>00009823</t>
  </si>
  <si>
    <t>00009855</t>
  </si>
  <si>
    <t>00009934</t>
  </si>
  <si>
    <t>00009969</t>
  </si>
  <si>
    <t>00010001</t>
  </si>
  <si>
    <t>00010188</t>
  </si>
  <si>
    <t>00010189</t>
  </si>
  <si>
    <t>00010327</t>
  </si>
  <si>
    <t>00010471</t>
  </si>
  <si>
    <t>00010475</t>
  </si>
  <si>
    <t>00010483</t>
  </si>
  <si>
    <t>00010485</t>
  </si>
  <si>
    <t>00010682</t>
  </si>
  <si>
    <t>00010871</t>
  </si>
  <si>
    <t>00011180</t>
  </si>
  <si>
    <t>00011186</t>
  </si>
  <si>
    <t>00011202</t>
  </si>
  <si>
    <t>00011203</t>
  </si>
  <si>
    <t>00011205</t>
  </si>
  <si>
    <t>00011207</t>
  </si>
  <si>
    <t>00011209</t>
  </si>
  <si>
    <t>00011269</t>
  </si>
  <si>
    <t>00011432</t>
  </si>
  <si>
    <t>00011433</t>
  </si>
  <si>
    <t>00011434</t>
  </si>
  <si>
    <t>00011435</t>
  </si>
  <si>
    <t>00011436</t>
  </si>
  <si>
    <t>00011437</t>
  </si>
  <si>
    <t>00011438</t>
  </si>
  <si>
    <t>00011441</t>
  </si>
  <si>
    <t>00011442</t>
  </si>
  <si>
    <t>00011443</t>
  </si>
  <si>
    <t>00011451</t>
  </si>
  <si>
    <t>00011452</t>
  </si>
  <si>
    <t>00011453</t>
  </si>
  <si>
    <t>00011458</t>
  </si>
  <si>
    <t>00011459</t>
  </si>
  <si>
    <t>00011463</t>
  </si>
  <si>
    <t>00011464</t>
  </si>
  <si>
    <t>00011466</t>
  </si>
  <si>
    <t>00011467</t>
  </si>
  <si>
    <t>00011469</t>
  </si>
  <si>
    <t>00011475</t>
  </si>
  <si>
    <t>00011476</t>
  </si>
  <si>
    <t>00011477</t>
  </si>
  <si>
    <t>00011478</t>
  </si>
  <si>
    <t>00011479</t>
  </si>
  <si>
    <t>00011480</t>
  </si>
  <si>
    <t>00011481</t>
  </si>
  <si>
    <t>00011482</t>
  </si>
  <si>
    <t>00011485</t>
  </si>
  <si>
    <t>00011486</t>
  </si>
  <si>
    <t>00011489</t>
  </si>
  <si>
    <t>00011490</t>
  </si>
  <si>
    <t>00011491</t>
  </si>
  <si>
    <t>00011492</t>
  </si>
  <si>
    <t>00011497</t>
  </si>
  <si>
    <t>00011499</t>
  </si>
  <si>
    <t>00011500</t>
  </si>
  <si>
    <t>00011501</t>
  </si>
  <si>
    <t>00011502</t>
  </si>
  <si>
    <t>00011503</t>
  </si>
  <si>
    <t>00011505</t>
  </si>
  <si>
    <t>00011506</t>
  </si>
  <si>
    <t>00011508</t>
  </si>
  <si>
    <t>00011510</t>
  </si>
  <si>
    <t>00011511</t>
  </si>
  <si>
    <t>00011513</t>
  </si>
  <si>
    <t>00011515</t>
  </si>
  <si>
    <t>00011517</t>
  </si>
  <si>
    <t>00011518</t>
  </si>
  <si>
    <t>00011519</t>
  </si>
  <si>
    <t>00011521</t>
  </si>
  <si>
    <t>00011522</t>
  </si>
  <si>
    <t>00011523</t>
  </si>
  <si>
    <t>00011525</t>
  </si>
  <si>
    <t>00011527</t>
  </si>
  <si>
    <t>00011528</t>
  </si>
  <si>
    <t>00011529</t>
  </si>
  <si>
    <t>00011560</t>
  </si>
  <si>
    <t>00011561</t>
  </si>
  <si>
    <t>00011562</t>
  </si>
  <si>
    <t>00011563</t>
  </si>
  <si>
    <t>00011566</t>
  </si>
  <si>
    <t>00011573</t>
  </si>
  <si>
    <t>00011575</t>
  </si>
  <si>
    <t>00011576</t>
  </si>
  <si>
    <t>00011577</t>
  </si>
  <si>
    <t>00011578</t>
  </si>
  <si>
    <t>00011579</t>
  </si>
  <si>
    <t>00011580</t>
  </si>
  <si>
    <t>00011582</t>
  </si>
  <si>
    <t>00011583</t>
  </si>
  <si>
    <t>00011585</t>
  </si>
  <si>
    <t>00011586</t>
  </si>
  <si>
    <t>00011587</t>
  </si>
  <si>
    <t>00011588</t>
  </si>
  <si>
    <t>00011590</t>
  </si>
  <si>
    <t>00011591</t>
  </si>
  <si>
    <t>00011592</t>
  </si>
  <si>
    <t>00011593</t>
  </si>
  <si>
    <t>00011595</t>
  </si>
  <si>
    <t>00011596</t>
  </si>
  <si>
    <t>00011597</t>
  </si>
  <si>
    <t>00011600</t>
  </si>
  <si>
    <t>00011601</t>
  </si>
  <si>
    <t>00011602</t>
  </si>
  <si>
    <t>00011603</t>
  </si>
  <si>
    <t>00011606</t>
  </si>
  <si>
    <t>00011608</t>
  </si>
  <si>
    <t>00011609</t>
  </si>
  <si>
    <t>00011610</t>
  </si>
  <si>
    <t>00011611</t>
  </si>
  <si>
    <t>00011612</t>
  </si>
  <si>
    <t>00011613</t>
  </si>
  <si>
    <t>00011614</t>
  </si>
  <si>
    <t>00011615</t>
  </si>
  <si>
    <t>00011616</t>
  </si>
  <si>
    <t>00011617</t>
  </si>
  <si>
    <t>00011618</t>
  </si>
  <si>
    <t>00011619</t>
  </si>
  <si>
    <t>00011622</t>
  </si>
  <si>
    <t>00011625</t>
  </si>
  <si>
    <t>00011627</t>
  </si>
  <si>
    <t>00011629</t>
  </si>
  <si>
    <t>00011630</t>
  </si>
  <si>
    <t>00011631</t>
  </si>
  <si>
    <t>00011632</t>
  </si>
  <si>
    <t>00011634</t>
  </si>
  <si>
    <t>00011635</t>
  </si>
  <si>
    <t>00011636</t>
  </si>
  <si>
    <t>00011637</t>
  </si>
  <si>
    <t>00011639</t>
  </si>
  <si>
    <t>00011643</t>
  </si>
  <si>
    <t>00011645</t>
  </si>
  <si>
    <t>00011646</t>
  </si>
  <si>
    <t>00011647</t>
  </si>
  <si>
    <t>00011650</t>
  </si>
  <si>
    <t>00011651</t>
  </si>
  <si>
    <t>00011652</t>
  </si>
  <si>
    <t>00011653</t>
  </si>
  <si>
    <t>00011655</t>
  </si>
  <si>
    <t>00011656</t>
  </si>
  <si>
    <t>00011657</t>
  </si>
  <si>
    <t>00011660</t>
  </si>
  <si>
    <t>00011661</t>
  </si>
  <si>
    <t>00011662</t>
  </si>
  <si>
    <t>00011666</t>
  </si>
  <si>
    <t>00011667</t>
  </si>
  <si>
    <t>00011669</t>
  </si>
  <si>
    <t>00011670</t>
  </si>
  <si>
    <t>00011671</t>
  </si>
  <si>
    <t>00011672</t>
  </si>
  <si>
    <t>00011673</t>
  </si>
  <si>
    <t>00011677</t>
  </si>
  <si>
    <t>00011680</t>
  </si>
  <si>
    <t>00011681</t>
  </si>
  <si>
    <t>00011682</t>
  </si>
  <si>
    <t>00011683</t>
  </si>
  <si>
    <t>00011685</t>
  </si>
  <si>
    <t>00011686</t>
  </si>
  <si>
    <t>00011688</t>
  </si>
  <si>
    <t>00011689</t>
  </si>
  <si>
    <t>00011692</t>
  </si>
  <si>
    <t>00011693</t>
  </si>
  <si>
    <t>00011695</t>
  </si>
  <si>
    <t>00011697</t>
  </si>
  <si>
    <t>00011699</t>
  </si>
  <si>
    <t>00011702</t>
  </si>
  <si>
    <t>00011704</t>
  </si>
  <si>
    <t>00011884</t>
  </si>
  <si>
    <t>00012061</t>
  </si>
  <si>
    <t>00012181</t>
  </si>
  <si>
    <t>00012212</t>
  </si>
  <si>
    <t>00012510</t>
  </si>
  <si>
    <t>00014917</t>
  </si>
  <si>
    <t>00030122</t>
  </si>
  <si>
    <t>00030234</t>
  </si>
  <si>
    <t>00030237</t>
  </si>
  <si>
    <t>00030264</t>
  </si>
  <si>
    <t>00030275</t>
  </si>
  <si>
    <t>00030305</t>
  </si>
  <si>
    <t>00030306</t>
  </si>
  <si>
    <t>00030310</t>
  </si>
  <si>
    <t>00030335</t>
  </si>
  <si>
    <t>00030340</t>
  </si>
  <si>
    <t>00030390</t>
  </si>
  <si>
    <t>00030451</t>
  </si>
  <si>
    <t>应发岗贴</t>
  </si>
  <si>
    <t>岗贴扣税</t>
  </si>
  <si>
    <t>过节费</t>
    <phoneticPr fontId="6" type="noConversion"/>
  </si>
  <si>
    <t>奖金</t>
    <phoneticPr fontId="2" type="noConversion"/>
  </si>
  <si>
    <t>其他2</t>
    <phoneticPr fontId="2" type="noConversion"/>
  </si>
  <si>
    <t>邮箱</t>
    <phoneticPr fontId="2" type="noConversion"/>
  </si>
  <si>
    <t>在B1中输入主题</t>
    <phoneticPr fontId="2" type="noConversion"/>
  </si>
  <si>
    <t>在D1中输入正文</t>
    <phoneticPr fontId="2" type="noConversion"/>
  </si>
  <si>
    <t>主题</t>
    <phoneticPr fontId="2" type="noConversion"/>
  </si>
  <si>
    <t>正文</t>
    <phoneticPr fontId="2" type="noConversion"/>
  </si>
  <si>
    <t>人事号</t>
  </si>
  <si>
    <t>应发金额</t>
  </si>
  <si>
    <t>税额</t>
  </si>
  <si>
    <t>银行账号</t>
  </si>
  <si>
    <t>附加说明</t>
  </si>
  <si>
    <t>00007282</t>
  </si>
  <si>
    <t>00007816</t>
  </si>
  <si>
    <t>e773364@sina.com</t>
    <phoneticPr fontId="2" type="noConversion"/>
  </si>
  <si>
    <t>F1中按格式输入工资的年月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</si>
</sst>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12">
    <font>
      <sz val="11"/>
      <color theme="1"/>
      <name val="宋体"/>
      <family val="2"/>
      <scheme val="minor"/>
    </font>
    <font>
      <sz val="9"/>
      <color rgb="FFFFFFFF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sz val="10"/>
      <name val="Geneva"/>
      <family val="2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1"/>
      <name val="宋体"/>
      <family val="3"/>
      <charset val="134"/>
    </font>
    <font>
      <sz val="10"/>
      <name val="Helv"/>
      <family val="2"/>
    </font>
    <font>
      <sz val="9"/>
      <name val="Arial Unicode MS"/>
      <family val="2"/>
      <charset val="134"/>
    </font>
    <font>
      <sz val="12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0159BD"/>
        <bgColor indexed="64"/>
      </patternFill>
    </fill>
    <fill>
      <patternFill patternType="solid">
        <fgColor rgb="FFEEF9FF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medium">
        <color rgb="FF6495ED"/>
      </left>
      <right style="thin">
        <color rgb="FF000000"/>
      </right>
      <top style="medium">
        <color rgb="FF6495E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6495ED"/>
      </top>
      <bottom style="thin">
        <color rgb="FF000000"/>
      </bottom>
      <diagonal/>
    </border>
    <border>
      <left style="thin">
        <color rgb="FF000000"/>
      </left>
      <right style="medium">
        <color rgb="FF6495ED"/>
      </right>
      <top style="medium">
        <color rgb="FF6495ED"/>
      </top>
      <bottom style="thin">
        <color rgb="FF000000"/>
      </bottom>
      <diagonal/>
    </border>
    <border>
      <left style="medium">
        <color rgb="FF6495ED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6495ED"/>
      </right>
      <top style="thin">
        <color rgb="FF000000"/>
      </top>
      <bottom style="thin">
        <color rgb="FF000000"/>
      </bottom>
      <diagonal/>
    </border>
    <border>
      <left style="medium">
        <color rgb="FF6495ED"/>
      </left>
      <right style="thin">
        <color rgb="FF000000"/>
      </right>
      <top style="thin">
        <color rgb="FF000000"/>
      </top>
      <bottom style="medium">
        <color rgb="FF6495ED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6495ED"/>
      </bottom>
      <diagonal/>
    </border>
    <border>
      <left style="thin">
        <color rgb="FF000000"/>
      </left>
      <right style="medium">
        <color rgb="FF6495ED"/>
      </right>
      <top style="thin">
        <color rgb="FF000000"/>
      </top>
      <bottom style="medium">
        <color rgb="FF6495E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35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49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left" vertical="center"/>
    </xf>
    <xf numFmtId="49" fontId="3" fillId="3" borderId="5" xfId="0" applyNumberFormat="1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right" vertical="center"/>
    </xf>
    <xf numFmtId="0" fontId="3" fillId="3" borderId="6" xfId="0" applyFont="1" applyFill="1" applyBorder="1" applyAlignment="1">
      <alignment horizontal="right" vertical="center"/>
    </xf>
    <xf numFmtId="49" fontId="3" fillId="3" borderId="7" xfId="0" applyNumberFormat="1" applyFont="1" applyFill="1" applyBorder="1" applyAlignment="1">
      <alignment horizontal="left" vertical="center"/>
    </xf>
    <xf numFmtId="49" fontId="3" fillId="3" borderId="8" xfId="0" applyNumberFormat="1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right" vertical="center"/>
    </xf>
    <xf numFmtId="0" fontId="3" fillId="3" borderId="9" xfId="0" applyFont="1" applyFill="1" applyBorder="1" applyAlignment="1">
      <alignment horizontal="right" vertical="center"/>
    </xf>
    <xf numFmtId="0" fontId="5" fillId="4" borderId="10" xfId="1" applyFont="1" applyFill="1" applyBorder="1" applyAlignment="1">
      <alignment horizontal="center" vertical="center" wrapText="1"/>
    </xf>
    <xf numFmtId="0" fontId="0" fillId="0" borderId="0" xfId="0" applyNumberFormat="1"/>
    <xf numFmtId="0" fontId="5" fillId="4" borderId="10" xfId="1" applyNumberFormat="1" applyFont="1" applyFill="1" applyBorder="1" applyAlignment="1">
      <alignment horizontal="center" vertical="center" wrapText="1"/>
    </xf>
    <xf numFmtId="0" fontId="0" fillId="5" borderId="0" xfId="0" applyFill="1" applyAlignment="1">
      <alignment wrapText="1"/>
    </xf>
    <xf numFmtId="49" fontId="0" fillId="0" borderId="0" xfId="0" applyNumberFormat="1"/>
    <xf numFmtId="49" fontId="7" fillId="0" borderId="0" xfId="0" applyNumberFormat="1" applyFont="1" applyBorder="1"/>
    <xf numFmtId="0" fontId="8" fillId="0" borderId="0" xfId="0" applyNumberFormat="1" applyFont="1" applyBorder="1" applyAlignment="1">
      <alignment horizontal="center" vertical="center"/>
    </xf>
    <xf numFmtId="0" fontId="7" fillId="0" borderId="0" xfId="0" applyFont="1"/>
    <xf numFmtId="0" fontId="9" fillId="0" borderId="0" xfId="0" applyFont="1"/>
    <xf numFmtId="49" fontId="7" fillId="0" borderId="10" xfId="0" applyNumberFormat="1" applyFont="1" applyFill="1" applyBorder="1" applyAlignment="1">
      <alignment vertical="center"/>
    </xf>
    <xf numFmtId="0" fontId="7" fillId="0" borderId="10" xfId="0" applyFont="1" applyFill="1" applyBorder="1" applyAlignment="1">
      <alignment vertical="center"/>
    </xf>
    <xf numFmtId="49" fontId="7" fillId="0" borderId="10" xfId="0" applyNumberFormat="1" applyFont="1" applyBorder="1" applyAlignment="1">
      <alignment vertical="center"/>
    </xf>
    <xf numFmtId="0" fontId="7" fillId="0" borderId="10" xfId="0" applyNumberFormat="1" applyFont="1" applyBorder="1" applyAlignment="1">
      <alignment vertical="center"/>
    </xf>
    <xf numFmtId="176" fontId="7" fillId="0" borderId="10" xfId="0" applyNumberFormat="1" applyFont="1" applyBorder="1" applyAlignment="1">
      <alignment vertical="center"/>
    </xf>
    <xf numFmtId="176" fontId="7" fillId="0" borderId="10" xfId="0" applyNumberFormat="1" applyFont="1" applyBorder="1" applyAlignment="1">
      <alignment horizontal="right" vertical="center"/>
    </xf>
    <xf numFmtId="0" fontId="0" fillId="0" borderId="0" xfId="0" applyAlignment="1">
      <alignment vertical="center"/>
    </xf>
    <xf numFmtId="49" fontId="10" fillId="6" borderId="0" xfId="0" applyNumberFormat="1" applyFont="1" applyFill="1" applyAlignment="1">
      <alignment horizontal="left" vertical="center" wrapText="1"/>
    </xf>
    <xf numFmtId="49" fontId="7" fillId="0" borderId="0" xfId="0" applyNumberFormat="1" applyFont="1" applyBorder="1" applyAlignment="1">
      <alignment horizontal="center" vertical="center"/>
    </xf>
    <xf numFmtId="49" fontId="11" fillId="0" borderId="0" xfId="0" applyNumberFormat="1" applyFont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</cellXfs>
  <cellStyles count="2">
    <cellStyle name="常规" xfId="0" builtinId="0"/>
    <cellStyle name="常规_2007年11月海信普通商家考核表" xfId="1"/>
  </cellStyles>
  <dxfs count="241"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0</xdr:row>
      <xdr:rowOff>47625</xdr:rowOff>
    </xdr:from>
    <xdr:to>
      <xdr:col>17</xdr:col>
      <xdr:colOff>438151</xdr:colOff>
      <xdr:row>1</xdr:row>
      <xdr:rowOff>0</xdr:rowOff>
    </xdr:to>
    <xdr:sp macro="[0]!创建并发送每个人的工资图片" textlink="">
      <xdr:nvSpPr>
        <xdr:cNvPr id="4" name="文本框 3"/>
        <xdr:cNvSpPr txBox="1"/>
      </xdr:nvSpPr>
      <xdr:spPr>
        <a:xfrm>
          <a:off x="9601200" y="47625"/>
          <a:ext cx="2495551" cy="466725"/>
        </a:xfrm>
        <a:prstGeom prst="rect">
          <a:avLst/>
        </a:prstGeom>
        <a:solidFill>
          <a:schemeClr val="accent3">
            <a:lumMod val="50000"/>
          </a:schemeClr>
        </a:solidFill>
        <a:ln w="9525" cmpd="sng">
          <a:solidFill>
            <a:schemeClr val="bg1"/>
          </a:solidFill>
        </a:ln>
        <a:effectLst>
          <a:outerShdw blurRad="203200" dir="5400000" sx="106000" sy="106000" algn="ctr">
            <a:srgbClr val="000000">
              <a:alpha val="63000"/>
            </a:srgb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800">
              <a:solidFill>
                <a:schemeClr val="bg1"/>
              </a:solidFill>
            </a:rPr>
            <a:t>点击此处开始发送邮件</a:t>
          </a:r>
          <a:endParaRPr lang="en-US" altLang="zh-CN" sz="1800">
            <a:solidFill>
              <a:schemeClr val="bg1"/>
            </a:solidFill>
          </a:endParaRPr>
        </a:p>
        <a:p>
          <a:endParaRPr lang="zh-CN" altLang="en-US" sz="1100"/>
        </a:p>
      </xdr:txBody>
    </xdr:sp>
    <xdr:clientData/>
  </xdr:twoCellAnchor>
  <xdr:twoCellAnchor>
    <xdr:from>
      <xdr:col>9</xdr:col>
      <xdr:colOff>271462</xdr:colOff>
      <xdr:row>0</xdr:row>
      <xdr:rowOff>38100</xdr:rowOff>
    </xdr:from>
    <xdr:to>
      <xdr:col>13</xdr:col>
      <xdr:colOff>328612</xdr:colOff>
      <xdr:row>0</xdr:row>
      <xdr:rowOff>504825</xdr:rowOff>
    </xdr:to>
    <xdr:sp macro="[0]!确定两个工资单中的冗余" textlink="">
      <xdr:nvSpPr>
        <xdr:cNvPr id="8" name="文本框 7"/>
        <xdr:cNvSpPr txBox="1"/>
      </xdr:nvSpPr>
      <xdr:spPr>
        <a:xfrm>
          <a:off x="6443662" y="38100"/>
          <a:ext cx="2800350" cy="466725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tx1"/>
          </a:solidFill>
          <a:prstDash val="sysDot"/>
        </a:ln>
        <a:effectLst>
          <a:outerShdw dist="12700" dir="5400000" sx="91000" sy="91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宋体" panose="02010600030101010101" pitchFamily="2" charset="-122"/>
            </a:rPr>
            <a:t>点击此处检查两处间冗余</a:t>
          </a:r>
          <a:endParaRPr kumimoji="0" lang="zh-CN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宋体" panose="02010600030101010101" pitchFamily="2" charset="-122"/>
          </a:endParaRPr>
        </a:p>
      </xdr:txBody>
    </xdr:sp>
    <xdr:clientData/>
  </xdr:twoCellAnchor>
  <xdr:twoCellAnchor>
    <xdr:from>
      <xdr:col>6</xdr:col>
      <xdr:colOff>66675</xdr:colOff>
      <xdr:row>0</xdr:row>
      <xdr:rowOff>0</xdr:rowOff>
    </xdr:from>
    <xdr:to>
      <xdr:col>9</xdr:col>
      <xdr:colOff>0</xdr:colOff>
      <xdr:row>2</xdr:row>
      <xdr:rowOff>133350</xdr:rowOff>
    </xdr:to>
    <xdr:sp macro="[0]!清除当前表中学校工资内容" textlink="">
      <xdr:nvSpPr>
        <xdr:cNvPr id="5" name="文本框 4"/>
        <xdr:cNvSpPr txBox="1"/>
      </xdr:nvSpPr>
      <xdr:spPr>
        <a:xfrm>
          <a:off x="4181475" y="0"/>
          <a:ext cx="1990725" cy="819150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tx1"/>
          </a:solidFill>
          <a:prstDash val="sysDot"/>
        </a:ln>
        <a:effectLst>
          <a:outerShdw dist="12700" dir="5400000" sx="91000" sy="91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7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宋体" panose="02010600030101010101" pitchFamily="2" charset="-122"/>
            </a:rPr>
            <a:t>点击此处清除</a:t>
          </a:r>
          <a:r>
            <a:rPr kumimoji="0" lang="zh-CN" altLang="en-US" sz="16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宋体" panose="02010600030101010101" pitchFamily="2" charset="-122"/>
            </a:rPr>
            <a:t>当前</a:t>
          </a:r>
          <a:r>
            <a:rPr kumimoji="0" lang="zh-CN" altLang="en-US" sz="17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宋体" panose="02010600030101010101" pitchFamily="2" charset="-122"/>
            </a:rPr>
            <a:t>表中的学校工资</a:t>
          </a:r>
          <a:endParaRPr kumimoji="0" lang="zh-CN" altLang="en-US" sz="17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宋体" panose="02010600030101010101" pitchFamily="2" charset="-122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24555;&#30424;\Excel&#21457;&#24037;&#36164;&#21333;\&#24037;&#36164;\contact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3703;&#36148;&#19994;&#32489;&#27941;&#36148;&#31246;&#37329;&#35745;&#31639;&#34920;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24555;&#30424;\Excel%20VBA\Excel&#21457;&#24037;&#36164;&#21333;\&#24037;&#36164;\bmgzxx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24555;&#30424;\Excel%20VBA\Excel&#21457;&#24037;&#36164;&#21333;\&#24037;&#36164;\2013&#24180;05&#26376;&#23703;&#36148;&#19994;&#32489;&#27941;&#36148;&#31246;&#37329;&#35745;&#31639;&#3492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acts"/>
      <sheetName val="whu.edu.cn"/>
      <sheetName val="qq.com"/>
      <sheetName val="Phone Number"/>
    </sheetNames>
    <sheetDataSet>
      <sheetData sheetId="0" refreshError="1">
        <row r="2">
          <cell r="A2" t="str">
            <v>00007282</v>
          </cell>
          <cell r="G2" t="str">
            <v>xiehua@whu.edu.cn</v>
          </cell>
        </row>
        <row r="3">
          <cell r="A3" t="str">
            <v>00007283</v>
          </cell>
          <cell r="G3" t="str">
            <v>yhzeng@whu.edu.cn</v>
          </cell>
        </row>
        <row r="4">
          <cell r="A4" t="str">
            <v>00007370</v>
          </cell>
          <cell r="G4" t="str">
            <v>fengxl1972@yahoo.com.cn</v>
          </cell>
        </row>
        <row r="5">
          <cell r="A5" t="str">
            <v>00007375</v>
          </cell>
          <cell r="G5" t="str">
            <v>liyc@whu.edu.cn</v>
          </cell>
        </row>
        <row r="6">
          <cell r="A6" t="str">
            <v>00007483</v>
          </cell>
          <cell r="G6" t="str">
            <v>wwangkang@163.com</v>
          </cell>
        </row>
        <row r="7">
          <cell r="A7" t="str">
            <v>00007525</v>
          </cell>
          <cell r="G7" t="str">
            <v>djywh@263.net</v>
          </cell>
        </row>
        <row r="8">
          <cell r="A8" t="str">
            <v>00007612</v>
          </cell>
          <cell r="G8" t="str">
            <v>xczhang@whu.edu.cn</v>
          </cell>
        </row>
        <row r="9">
          <cell r="A9" t="str">
            <v>00007681</v>
          </cell>
          <cell r="G9" t="str">
            <v>hapland@163.com</v>
          </cell>
        </row>
        <row r="10">
          <cell r="A10" t="str">
            <v>00007720</v>
          </cell>
          <cell r="G10" t="str">
            <v>yzh@whu.edu.cn</v>
          </cell>
        </row>
        <row r="11">
          <cell r="A11" t="str">
            <v>00007774</v>
          </cell>
          <cell r="G11" t="str">
            <v>zdqian@whu.edu.cn</v>
          </cell>
        </row>
        <row r="12">
          <cell r="A12" t="str">
            <v>00007776</v>
          </cell>
          <cell r="G12" t="str">
            <v>zxcao@whu.edu.cn</v>
          </cell>
        </row>
        <row r="13">
          <cell r="A13" t="str">
            <v>00007813</v>
          </cell>
          <cell r="G13" t="str">
            <v>csyfchen@whu.edu.cn</v>
          </cell>
        </row>
        <row r="14">
          <cell r="A14" t="str">
            <v>00007815</v>
          </cell>
          <cell r="G14" t="str">
            <v>shrcao@whu.edu.cn</v>
          </cell>
        </row>
        <row r="15">
          <cell r="A15" t="str">
            <v>00007816</v>
          </cell>
          <cell r="G15" t="str">
            <v>zw_mxx@163.com</v>
          </cell>
        </row>
        <row r="16">
          <cell r="A16" t="str">
            <v>00007817</v>
          </cell>
          <cell r="G16" t="str">
            <v>lnszh@126.com</v>
          </cell>
        </row>
        <row r="17">
          <cell r="A17" t="str">
            <v>00007818</v>
          </cell>
          <cell r="G17" t="str">
            <v>liben1564@sina.com</v>
          </cell>
        </row>
        <row r="18">
          <cell r="A18" t="str">
            <v>00007907</v>
          </cell>
          <cell r="G18" t="str">
            <v>whusyq@163.com</v>
          </cell>
        </row>
        <row r="19">
          <cell r="A19" t="str">
            <v>00008034</v>
          </cell>
          <cell r="G19" t="str">
            <v>liupan@whu.edu.cn</v>
          </cell>
        </row>
        <row r="20">
          <cell r="A20" t="str">
            <v>00008035</v>
          </cell>
          <cell r="G20" t="str">
            <v>lixp2004@163.com</v>
          </cell>
        </row>
        <row r="21">
          <cell r="A21" t="str">
            <v>00008036</v>
          </cell>
          <cell r="G21" t="str">
            <v>jyl1219fc@hotmail.com</v>
          </cell>
        </row>
        <row r="22">
          <cell r="A22" t="str">
            <v>00008088</v>
          </cell>
          <cell r="G22" t="str">
            <v>LiKun@whu.edu.cn</v>
          </cell>
        </row>
        <row r="23">
          <cell r="A23" t="str">
            <v>00008094</v>
          </cell>
          <cell r="G23" t="str">
            <v>dianqing@whu.edu.cn</v>
          </cell>
        </row>
        <row r="24">
          <cell r="A24" t="str">
            <v>00008288</v>
          </cell>
          <cell r="G24" t="str">
            <v>chenjt000@163.com</v>
          </cell>
        </row>
        <row r="25">
          <cell r="A25" t="str">
            <v>00009823</v>
          </cell>
          <cell r="G25" t="str">
            <v>yanphd@yahoo.com.cn</v>
          </cell>
        </row>
        <row r="26">
          <cell r="A26" t="str">
            <v>00008414</v>
          </cell>
          <cell r="G26" t="str">
            <v>zw97082@126.com</v>
          </cell>
        </row>
        <row r="27">
          <cell r="A27" t="str">
            <v>00008415</v>
          </cell>
          <cell r="G27" t="str">
            <v>whuchm@whu.edu.cn</v>
          </cell>
        </row>
        <row r="28">
          <cell r="A28" t="str">
            <v>00008416</v>
          </cell>
          <cell r="G28" t="str">
            <v>suker8044@163.com</v>
          </cell>
        </row>
        <row r="29">
          <cell r="A29" t="str">
            <v>00008417</v>
          </cell>
          <cell r="G29" t="str">
            <v>chua@whu.edu.cn</v>
          </cell>
        </row>
        <row r="30">
          <cell r="A30" t="str">
            <v>00008498</v>
          </cell>
          <cell r="G30" t="str">
            <v>hsyang@whu.edu.cn</v>
          </cell>
        </row>
        <row r="31">
          <cell r="A31" t="str">
            <v>00008820</v>
          </cell>
          <cell r="G31" t="str">
            <v>dqjin@whu.edu.cn</v>
          </cell>
        </row>
        <row r="32">
          <cell r="A32" t="str">
            <v>00008898</v>
          </cell>
          <cell r="G32" t="str">
            <v>shliu-job@163.com</v>
          </cell>
        </row>
        <row r="33">
          <cell r="A33" t="str">
            <v>00008921</v>
          </cell>
          <cell r="G33" t="str">
            <v>xuqing8263@hotmail.com</v>
          </cell>
        </row>
        <row r="34">
          <cell r="A34" t="str">
            <v>00008996</v>
          </cell>
          <cell r="G34" t="str">
            <v>iamxgz@163.com</v>
          </cell>
        </row>
        <row r="35">
          <cell r="A35" t="str">
            <v>00009155</v>
          </cell>
          <cell r="G35" t="str">
            <v>xlfu@whu.edu.cn</v>
          </cell>
        </row>
        <row r="36">
          <cell r="A36" t="str">
            <v>00009234</v>
          </cell>
          <cell r="G36" t="str">
            <v>cwshu@163.com</v>
          </cell>
        </row>
        <row r="37">
          <cell r="A37" t="str">
            <v>00009235</v>
          </cell>
          <cell r="G37" t="str">
            <v>danlee@whu.edu.cn</v>
          </cell>
        </row>
        <row r="38">
          <cell r="A38" t="str">
            <v>00009305</v>
          </cell>
          <cell r="G38" t="str">
            <v>gwquan@163.com</v>
          </cell>
        </row>
        <row r="39">
          <cell r="A39" t="str">
            <v>00009334</v>
          </cell>
          <cell r="G39" t="str">
            <v>183275510@QQ.com</v>
          </cell>
        </row>
        <row r="40">
          <cell r="A40" t="str">
            <v>00009377</v>
          </cell>
          <cell r="G40" t="str">
            <v>liangshs@gmail.com</v>
          </cell>
        </row>
        <row r="41">
          <cell r="A41" t="str">
            <v>00009403</v>
          </cell>
          <cell r="G41" t="str">
            <v>00009403@whu.edu.cn</v>
          </cell>
        </row>
        <row r="42">
          <cell r="A42" t="str">
            <v>00009454</v>
          </cell>
          <cell r="G42" t="str">
            <v>xiajq@whu.edu.cn</v>
          </cell>
        </row>
        <row r="43">
          <cell r="A43" t="str">
            <v>00009460</v>
          </cell>
          <cell r="G43" t="str">
            <v>hancl@whu.edu.cn</v>
          </cell>
        </row>
        <row r="44">
          <cell r="A44" t="str">
            <v>00009650</v>
          </cell>
          <cell r="G44" t="str">
            <v>hellomuki@tom.com</v>
          </cell>
        </row>
        <row r="45">
          <cell r="A45" t="str">
            <v>00009654</v>
          </cell>
          <cell r="G45" t="str">
            <v xml:space="preserve">chengyg@whu.edu.cn
</v>
          </cell>
        </row>
        <row r="46">
          <cell r="A46" t="str">
            <v>00009667</v>
          </cell>
          <cell r="G46" t="str">
            <v>dediliu@163.com</v>
          </cell>
        </row>
        <row r="47">
          <cell r="A47" t="str">
            <v>00009671</v>
          </cell>
          <cell r="G47" t="str">
            <v>44320093@qq.com</v>
          </cell>
        </row>
        <row r="48">
          <cell r="A48" t="str">
            <v>00009682</v>
          </cell>
          <cell r="G48" t="str">
            <v>00009682@whu.edu.cn</v>
          </cell>
        </row>
        <row r="49">
          <cell r="A49" t="str">
            <v>00009683</v>
          </cell>
          <cell r="G49" t="str">
            <v>zhongjie_han@163.com</v>
          </cell>
        </row>
        <row r="50">
          <cell r="A50" t="str">
            <v>00009739</v>
          </cell>
          <cell r="G50" t="str">
            <v>00009739@whu.edu.cn</v>
          </cell>
        </row>
        <row r="51">
          <cell r="A51" t="str">
            <v>00009823</v>
          </cell>
          <cell r="G51" t="str">
            <v>pyanwhu@whu.edu.cn</v>
          </cell>
        </row>
        <row r="52">
          <cell r="A52" t="str">
            <v>00009855</v>
          </cell>
          <cell r="G52" t="str">
            <v>75992435@qq.com</v>
          </cell>
        </row>
        <row r="53">
          <cell r="A53" t="str">
            <v>00009934</v>
          </cell>
          <cell r="G53" t="str">
            <v>00009934@whu.edu.cn</v>
          </cell>
        </row>
        <row r="54">
          <cell r="A54" t="str">
            <v>00009969</v>
          </cell>
          <cell r="G54" t="str">
            <v>82040659@qq.com</v>
          </cell>
        </row>
        <row r="55">
          <cell r="A55" t="str">
            <v>00010001</v>
          </cell>
          <cell r="G55" t="str">
            <v>wb_whu@263.net</v>
          </cell>
        </row>
        <row r="56">
          <cell r="A56" t="str">
            <v>00010188</v>
          </cell>
          <cell r="G56" t="str">
            <v>duanyahui@263.net</v>
          </cell>
        </row>
        <row r="57">
          <cell r="A57" t="str">
            <v>00010189</v>
          </cell>
          <cell r="G57" t="str">
            <v>wenquanliang@163.com</v>
          </cell>
        </row>
        <row r="58">
          <cell r="A58" t="str">
            <v>00010327</v>
          </cell>
          <cell r="G58" t="str">
            <v>hbwhsys@126.com</v>
          </cell>
        </row>
        <row r="59">
          <cell r="A59" t="str">
            <v>00010471</v>
          </cell>
          <cell r="G59" t="str">
            <v>zlcgood@126.com</v>
          </cell>
        </row>
        <row r="60">
          <cell r="A60" t="str">
            <v>00010475</v>
          </cell>
          <cell r="G60" t="str">
            <v>dxliu@whu.edu.cn</v>
          </cell>
        </row>
        <row r="61">
          <cell r="A61" t="str">
            <v>00010483</v>
          </cell>
          <cell r="G61" t="str">
            <v>wmfeng@whu.edu.cn</v>
          </cell>
        </row>
        <row r="62">
          <cell r="A62" t="str">
            <v>00010485</v>
          </cell>
          <cell r="G62" t="str">
            <v>xiangyuanh@126.com</v>
          </cell>
        </row>
        <row r="63">
          <cell r="A63" t="str">
            <v>00010682</v>
          </cell>
          <cell r="G63" t="str">
            <v>slguo@whu.edu.cn</v>
          </cell>
        </row>
        <row r="64">
          <cell r="A64" t="str">
            <v>00010871</v>
          </cell>
          <cell r="G64" t="str">
            <v>zwyu7825@sohu.com</v>
          </cell>
        </row>
        <row r="65">
          <cell r="A65" t="str">
            <v>00011180</v>
          </cell>
          <cell r="G65" t="str">
            <v>cbzhou@whu.edu.cn</v>
          </cell>
        </row>
        <row r="66">
          <cell r="A66" t="str">
            <v>00011186</v>
          </cell>
          <cell r="G66" t="str">
            <v>00011186@whu.edu.cn</v>
          </cell>
        </row>
        <row r="67">
          <cell r="A67" t="str">
            <v>00011202</v>
          </cell>
          <cell r="G67" t="str">
            <v>00011202@whu.edu.cn</v>
          </cell>
        </row>
        <row r="68">
          <cell r="A68" t="str">
            <v>00011203</v>
          </cell>
          <cell r="G68" t="str">
            <v>hu.chengsheng@263.net</v>
          </cell>
        </row>
        <row r="69">
          <cell r="A69" t="str">
            <v>00011205</v>
          </cell>
          <cell r="G69" t="str">
            <v>00011205@whu.edu.cn</v>
          </cell>
        </row>
        <row r="70">
          <cell r="A70" t="str">
            <v>00011207</v>
          </cell>
          <cell r="G70" t="str">
            <v>whbzjs@163.com</v>
          </cell>
        </row>
        <row r="71">
          <cell r="A71" t="str">
            <v>00011209</v>
          </cell>
          <cell r="G71" t="str">
            <v>00011209@whu.edu.cn</v>
          </cell>
        </row>
        <row r="72">
          <cell r="A72" t="str">
            <v>00011269</v>
          </cell>
          <cell r="G72" t="str">
            <v>cdwwh@tom.com</v>
          </cell>
        </row>
        <row r="73">
          <cell r="A73" t="str">
            <v>00011432</v>
          </cell>
          <cell r="G73" t="str">
            <v>00011432@whu.edu.cn</v>
          </cell>
        </row>
        <row r="74">
          <cell r="A74" t="str">
            <v>00011433</v>
          </cell>
          <cell r="G74" t="str">
            <v>wh-ly@sohu.com</v>
          </cell>
        </row>
        <row r="75">
          <cell r="A75" t="str">
            <v>00011434</v>
          </cell>
          <cell r="G75" t="str">
            <v>wbf1988@vip.sina.com</v>
          </cell>
        </row>
        <row r="76">
          <cell r="A76" t="str">
            <v>00011435</v>
          </cell>
          <cell r="G76" t="str">
            <v>jdyang@whu.edu.cn</v>
          </cell>
        </row>
        <row r="77">
          <cell r="A77" t="str">
            <v>00011436</v>
          </cell>
          <cell r="G77" t="str">
            <v>mxiao@whu.edu.cn</v>
          </cell>
        </row>
        <row r="78">
          <cell r="A78" t="str">
            <v>00011437</v>
          </cell>
          <cell r="G78" t="str">
            <v>mlliaxu@public.wh.hb.cn</v>
          </cell>
        </row>
        <row r="79">
          <cell r="A79" t="str">
            <v>00011438</v>
          </cell>
          <cell r="G79" t="str">
            <v>chengyg2000@yahoo.com.cn</v>
          </cell>
        </row>
        <row r="80">
          <cell r="A80" t="str">
            <v>00011441</v>
          </cell>
          <cell r="G80" t="str">
            <v>lukeping@whu.edu.cn</v>
          </cell>
        </row>
        <row r="81">
          <cell r="A81" t="str">
            <v>00011442</v>
          </cell>
          <cell r="G81" t="str">
            <v>yuanhanfang0405@sina.com</v>
          </cell>
        </row>
        <row r="82">
          <cell r="A82" t="str">
            <v>00011443</v>
          </cell>
          <cell r="G82" t="str">
            <v>zlg124@tom.com</v>
          </cell>
        </row>
        <row r="83">
          <cell r="A83" t="str">
            <v>00011451</v>
          </cell>
          <cell r="G83" t="str">
            <v>slyjs@whu.edu.cn</v>
          </cell>
        </row>
        <row r="84">
          <cell r="A84" t="str">
            <v>00011452</v>
          </cell>
          <cell r="G84" t="str">
            <v>liufeng62@yeah.net</v>
          </cell>
        </row>
        <row r="85">
          <cell r="A85" t="str">
            <v>00011453</v>
          </cell>
          <cell r="G85" t="str">
            <v>slkyl@whu.edu.cn</v>
          </cell>
        </row>
        <row r="86">
          <cell r="A86" t="str">
            <v>00011458</v>
          </cell>
          <cell r="G86" t="str">
            <v>1045035430@qq.com</v>
          </cell>
        </row>
        <row r="87">
          <cell r="A87" t="str">
            <v>00011459</v>
          </cell>
          <cell r="G87" t="str">
            <v>1556932025@qq.com</v>
          </cell>
        </row>
        <row r="88">
          <cell r="A88" t="str">
            <v>00011463</v>
          </cell>
          <cell r="G88" t="str">
            <v>346995068@qq.com</v>
          </cell>
        </row>
        <row r="89">
          <cell r="A89" t="str">
            <v>00011464</v>
          </cell>
          <cell r="G89" t="str">
            <v>1940921184@qq.com</v>
          </cell>
        </row>
        <row r="90">
          <cell r="A90" t="str">
            <v>00011466</v>
          </cell>
          <cell r="G90" t="str">
            <v>shihe3086@163.com</v>
          </cell>
        </row>
        <row r="91">
          <cell r="A91" t="str">
            <v>00011467</v>
          </cell>
          <cell r="G91" t="str">
            <v>lujing@whu.edu.cn</v>
          </cell>
        </row>
        <row r="92">
          <cell r="A92" t="str">
            <v>00011469</v>
          </cell>
          <cell r="G92" t="str">
            <v>00011469@whu.edu.cn</v>
          </cell>
        </row>
        <row r="93">
          <cell r="A93" t="str">
            <v>00011475</v>
          </cell>
          <cell r="G93" t="str">
            <v>1353235401@qq.com</v>
          </cell>
        </row>
        <row r="94">
          <cell r="A94" t="str">
            <v>00011476</v>
          </cell>
          <cell r="G94" t="str">
            <v>yxliu@whu.edu.cn</v>
          </cell>
        </row>
        <row r="95">
          <cell r="A95" t="str">
            <v>00011477</v>
          </cell>
          <cell r="G95" t="str">
            <v>nwdeng@163.com</v>
          </cell>
        </row>
        <row r="96">
          <cell r="A96" t="str">
            <v>00011478</v>
          </cell>
          <cell r="G96" t="str">
            <v>jzheng003@163.com</v>
          </cell>
        </row>
        <row r="97">
          <cell r="A97" t="str">
            <v>00011479</v>
          </cell>
          <cell r="G97" t="str">
            <v>lhm631106@sina.com</v>
          </cell>
        </row>
        <row r="98">
          <cell r="A98" t="str">
            <v>00011480</v>
          </cell>
          <cell r="G98" t="str">
            <v>rg_mail@yeah.net</v>
          </cell>
        </row>
        <row r="99">
          <cell r="A99" t="str">
            <v>00011481</v>
          </cell>
          <cell r="G99" t="str">
            <v>htwang@whu.edu.cn</v>
          </cell>
        </row>
        <row r="100">
          <cell r="A100" t="str">
            <v>00011482</v>
          </cell>
          <cell r="G100" t="str">
            <v>1203762186@qq.com</v>
          </cell>
        </row>
        <row r="101">
          <cell r="A101" t="str">
            <v>00011485</v>
          </cell>
          <cell r="G101" t="str">
            <v>zenglwhu@163.com</v>
          </cell>
        </row>
        <row r="102">
          <cell r="A102" t="str">
            <v>00011486</v>
          </cell>
          <cell r="G102" t="str">
            <v>yhliu@whu.edu.cn</v>
          </cell>
        </row>
        <row r="103">
          <cell r="A103" t="str">
            <v>00011489</v>
          </cell>
          <cell r="G103" t="str">
            <v>evahezhen@126.com</v>
          </cell>
        </row>
        <row r="104">
          <cell r="A104" t="str">
            <v>00011490</v>
          </cell>
          <cell r="G104" t="str">
            <v>hezhengyong.1@163.com</v>
          </cell>
        </row>
        <row r="105">
          <cell r="A105" t="str">
            <v>00011491</v>
          </cell>
          <cell r="G105" t="str">
            <v>yruan@whu.edu.cn</v>
          </cell>
        </row>
        <row r="106">
          <cell r="A106" t="str">
            <v>00011492</v>
          </cell>
          <cell r="G106" t="str">
            <v>zyltsj@126.com</v>
          </cell>
        </row>
        <row r="107">
          <cell r="A107" t="str">
            <v>00011497</v>
          </cell>
          <cell r="G107" t="str">
            <v>xumingy@tom.com</v>
          </cell>
        </row>
        <row r="108">
          <cell r="A108" t="str">
            <v>00011499</v>
          </cell>
          <cell r="G108" t="str">
            <v>whuhjp@163.com</v>
          </cell>
        </row>
        <row r="109">
          <cell r="A109" t="str">
            <v>00011500</v>
          </cell>
          <cell r="G109" t="str">
            <v>mingli@whu.edu.cn</v>
          </cell>
        </row>
        <row r="110">
          <cell r="A110" t="str">
            <v>00011501</v>
          </cell>
          <cell r="G110" t="str">
            <v>laiguowei@sina.com.cn</v>
          </cell>
        </row>
        <row r="111">
          <cell r="A111" t="str">
            <v>00011502</v>
          </cell>
          <cell r="G111" t="str">
            <v>sgjg2219@tom.com</v>
          </cell>
        </row>
        <row r="112">
          <cell r="A112" t="str">
            <v>00011503</v>
          </cell>
          <cell r="G112" t="str">
            <v>cxshe@126.com</v>
          </cell>
        </row>
        <row r="113">
          <cell r="A113" t="str">
            <v>00011505</v>
          </cell>
          <cell r="G113" t="str">
            <v>enai@whu.edu.cn</v>
          </cell>
        </row>
        <row r="114">
          <cell r="A114" t="str">
            <v>00011506</v>
          </cell>
          <cell r="G114" t="str">
            <v>ylhe2002@yahoo.com.cn</v>
          </cell>
        </row>
        <row r="115">
          <cell r="A115" t="str">
            <v>00011508</v>
          </cell>
          <cell r="G115" t="str">
            <v>leichuanhua@163.com</v>
          </cell>
        </row>
        <row r="116">
          <cell r="A116" t="str">
            <v>00011510</v>
          </cell>
          <cell r="G116" t="str">
            <v>chensh@whu.edu.cn</v>
          </cell>
        </row>
        <row r="117">
          <cell r="A117" t="str">
            <v>00011511</v>
          </cell>
          <cell r="G117" t="str">
            <v>jxwang@whu.edu.cn</v>
          </cell>
        </row>
        <row r="118">
          <cell r="A118" t="str">
            <v>00011513</v>
          </cell>
          <cell r="G118" t="str">
            <v>1270954527@qq.com</v>
          </cell>
        </row>
        <row r="119">
          <cell r="A119" t="str">
            <v>00011515</v>
          </cell>
          <cell r="G119" t="str">
            <v>xy751024@126.com</v>
          </cell>
        </row>
        <row r="120">
          <cell r="A120" t="str">
            <v>00011517</v>
          </cell>
          <cell r="G120" t="str">
            <v>hch_2003@163.com</v>
          </cell>
        </row>
        <row r="121">
          <cell r="A121" t="str">
            <v>00011518</v>
          </cell>
          <cell r="G121" t="str">
            <v>cyzhu@whu.edu.cn</v>
          </cell>
        </row>
        <row r="122">
          <cell r="A122" t="str">
            <v>00011519</v>
          </cell>
          <cell r="G122" t="str">
            <v>77lpz@163.com</v>
          </cell>
        </row>
        <row r="123">
          <cell r="A123" t="str">
            <v>00011521</v>
          </cell>
          <cell r="G123" t="str">
            <v>sdq62@sina.com.cn</v>
          </cell>
        </row>
        <row r="124">
          <cell r="A124" t="str">
            <v>00011522</v>
          </cell>
          <cell r="G124" t="str">
            <v>sml1963@126.com</v>
          </cell>
        </row>
        <row r="125">
          <cell r="A125" t="str">
            <v>00011523</v>
          </cell>
          <cell r="G125" t="str">
            <v>970555983@qq.com</v>
          </cell>
        </row>
        <row r="126">
          <cell r="A126" t="str">
            <v>00011525</v>
          </cell>
          <cell r="G126" t="str">
            <v>wblu@whu.edu.cn</v>
          </cell>
        </row>
        <row r="127">
          <cell r="A127" t="str">
            <v>00011527</v>
          </cell>
          <cell r="G127" t="str">
            <v>LYLSHOW@WHU.EDU.CN</v>
          </cell>
        </row>
        <row r="128">
          <cell r="A128" t="str">
            <v>00011528</v>
          </cell>
          <cell r="G128" t="str">
            <v>km20006@163.com</v>
          </cell>
        </row>
        <row r="129">
          <cell r="A129" t="str">
            <v>00011529</v>
          </cell>
          <cell r="G129" t="str">
            <v>zhigenhu@163.com</v>
          </cell>
        </row>
        <row r="130">
          <cell r="A130" t="str">
            <v>00011560</v>
          </cell>
          <cell r="G130" t="str">
            <v>2401052423@qq.com</v>
          </cell>
        </row>
        <row r="131">
          <cell r="A131" t="str">
            <v>00011561</v>
          </cell>
          <cell r="G131" t="str">
            <v>wangxw@whu.edu.cn</v>
          </cell>
        </row>
        <row r="132">
          <cell r="A132" t="str">
            <v>00011562</v>
          </cell>
          <cell r="G132" t="str">
            <v>huanghansheng@163.com</v>
          </cell>
        </row>
        <row r="133">
          <cell r="A133" t="str">
            <v>00011563</v>
          </cell>
          <cell r="G133" t="str">
            <v>A1234567_2003@eyou.com</v>
          </cell>
        </row>
        <row r="134">
          <cell r="A134" t="str">
            <v>00011566</v>
          </cell>
          <cell r="G134" t="str">
            <v>jiaj2008@163.com</v>
          </cell>
        </row>
        <row r="135">
          <cell r="A135" t="str">
            <v>00011573</v>
          </cell>
          <cell r="G135" t="str">
            <v>zhhuang@whu.edu.cn</v>
          </cell>
        </row>
        <row r="136">
          <cell r="A136" t="str">
            <v>00011575</v>
          </cell>
          <cell r="G136" t="str">
            <v>hsh5527@126.com</v>
          </cell>
        </row>
        <row r="137">
          <cell r="A137" t="str">
            <v>00011576</v>
          </cell>
          <cell r="G137" t="str">
            <v>qluo@whu.edu.cn</v>
          </cell>
        </row>
        <row r="138">
          <cell r="A138" t="str">
            <v>00011577</v>
          </cell>
          <cell r="G138" t="str">
            <v>dongbin@whu.edu.cn</v>
          </cell>
        </row>
        <row r="139">
          <cell r="A139" t="str">
            <v>00011578</v>
          </cell>
          <cell r="G139" t="str">
            <v>tshu@whu.edu.cn</v>
          </cell>
        </row>
        <row r="140">
          <cell r="A140" t="str">
            <v>00011579</v>
          </cell>
          <cell r="G140" t="str">
            <v>410998129@qq.com</v>
          </cell>
        </row>
        <row r="141">
          <cell r="A141" t="str">
            <v>00011580</v>
          </cell>
          <cell r="G141" t="str">
            <v>jzyang@whu.edu.cn</v>
          </cell>
        </row>
        <row r="142">
          <cell r="A142" t="str">
            <v>00011582</v>
          </cell>
          <cell r="G142" t="str">
            <v>sycai126@163.com</v>
          </cell>
        </row>
        <row r="143">
          <cell r="A143" t="str">
            <v>00011583</v>
          </cell>
          <cell r="G143" t="str">
            <v>dgshao@whu.edu.cn</v>
          </cell>
        </row>
        <row r="144">
          <cell r="A144" t="str">
            <v>00011585</v>
          </cell>
          <cell r="G144" t="str">
            <v>00011585@whu.edu.cn</v>
          </cell>
        </row>
        <row r="145">
          <cell r="A145" t="str">
            <v>00011586</v>
          </cell>
          <cell r="G145" t="str">
            <v>cuiyuanlai@263.net</v>
          </cell>
        </row>
        <row r="146">
          <cell r="A146" t="str">
            <v>00011587</v>
          </cell>
          <cell r="G146" t="str">
            <v>wangxg@whu.edu.cn</v>
          </cell>
        </row>
        <row r="147">
          <cell r="A147" t="str">
            <v>00011588</v>
          </cell>
          <cell r="G147" t="str">
            <v>luojy@whu.edu.cn</v>
          </cell>
        </row>
        <row r="148">
          <cell r="A148" t="str">
            <v>00011590</v>
          </cell>
          <cell r="G148" t="str">
            <v>lhong@whu.edu.cn</v>
          </cell>
        </row>
        <row r="149">
          <cell r="A149" t="str">
            <v>00011591</v>
          </cell>
          <cell r="G149" t="str">
            <v>xhchenw@163.com</v>
          </cell>
        </row>
        <row r="150">
          <cell r="A150" t="str">
            <v>00011592</v>
          </cell>
          <cell r="G150" t="str">
            <v>yfqiu@whu.edu.cn</v>
          </cell>
        </row>
        <row r="151">
          <cell r="A151" t="str">
            <v>00011593</v>
          </cell>
          <cell r="G151" t="str">
            <v>50415634@qq.com</v>
          </cell>
        </row>
        <row r="152">
          <cell r="A152" t="str">
            <v>00011595</v>
          </cell>
          <cell r="G152" t="str">
            <v>00011595@whu.edu.cn</v>
          </cell>
        </row>
        <row r="153">
          <cell r="A153" t="str">
            <v>00011596</v>
          </cell>
          <cell r="G153" t="str">
            <v>qqizhi@163.com</v>
          </cell>
        </row>
        <row r="154">
          <cell r="A154" t="str">
            <v>00011597</v>
          </cell>
          <cell r="G154" t="str">
            <v>waterstill@whu.edu.cn</v>
          </cell>
        </row>
        <row r="155">
          <cell r="A155" t="str">
            <v>00011600</v>
          </cell>
          <cell r="G155" t="str">
            <v>wdwfq@sohu.com</v>
          </cell>
        </row>
        <row r="156">
          <cell r="A156" t="str">
            <v>00011601</v>
          </cell>
          <cell r="G156" t="str">
            <v>fengxb999@21cn.com</v>
          </cell>
        </row>
        <row r="157">
          <cell r="A157" t="str">
            <v>00011602</v>
          </cell>
          <cell r="G157" t="str">
            <v>lcc9583@163.com</v>
          </cell>
        </row>
        <row r="158">
          <cell r="A158" t="str">
            <v>00011603</v>
          </cell>
          <cell r="G158" t="str">
            <v>lcswu@163.com</v>
          </cell>
        </row>
        <row r="159">
          <cell r="A159" t="str">
            <v>00011606</v>
          </cell>
          <cell r="G159" t="str">
            <v>ruanxj663@163.com</v>
          </cell>
        </row>
        <row r="160">
          <cell r="A160" t="str">
            <v>00011608</v>
          </cell>
          <cell r="G160" t="str">
            <v>zhaorongan@163.com</v>
          </cell>
        </row>
        <row r="161">
          <cell r="A161" t="str">
            <v>00011609</v>
          </cell>
          <cell r="G161" t="str">
            <v>mak2654@163.com</v>
          </cell>
        </row>
        <row r="162">
          <cell r="A162" t="str">
            <v>00011610</v>
          </cell>
          <cell r="G162" t="str">
            <v>zitang-shi@sohu.com</v>
          </cell>
        </row>
        <row r="163">
          <cell r="A163" t="str">
            <v>00011611</v>
          </cell>
          <cell r="G163" t="str">
            <v>fzxia@whu.edu.cn</v>
          </cell>
        </row>
        <row r="164">
          <cell r="A164" t="str">
            <v>00011612</v>
          </cell>
          <cell r="G164" t="str">
            <v>txingcan@yahoo.com</v>
          </cell>
        </row>
        <row r="165">
          <cell r="A165" t="str">
            <v>00011613</v>
          </cell>
          <cell r="G165" t="str">
            <v>mjc3742@sina.com.cn</v>
          </cell>
        </row>
        <row r="166">
          <cell r="A166" t="str">
            <v>00011614</v>
          </cell>
          <cell r="G166" t="str">
            <v>zhang_jsg@163.com</v>
          </cell>
        </row>
        <row r="167">
          <cell r="A167" t="str">
            <v>00011615</v>
          </cell>
          <cell r="G167" t="str">
            <v>fcyfcywhu@163.com</v>
          </cell>
        </row>
        <row r="168">
          <cell r="A168" t="str">
            <v>00011616</v>
          </cell>
          <cell r="G168" t="str">
            <v>hdi@whu.edu.cn</v>
          </cell>
        </row>
        <row r="169">
          <cell r="A169" t="str">
            <v>00011617</v>
          </cell>
          <cell r="G169" t="str">
            <v>zlpwhu@sina.com.cn</v>
          </cell>
        </row>
        <row r="170">
          <cell r="A170" t="str">
            <v>00011618</v>
          </cell>
          <cell r="G170" t="str">
            <v>xionglh@whu.edu.cn</v>
          </cell>
        </row>
        <row r="171">
          <cell r="A171" t="str">
            <v>00011619</v>
          </cell>
          <cell r="G171" t="str">
            <v>xiaj@igsnrr.ac.cn</v>
          </cell>
        </row>
        <row r="172">
          <cell r="A172" t="str">
            <v>00011622</v>
          </cell>
          <cell r="G172" t="str">
            <v>songxy@whu.edu.cn</v>
          </cell>
        </row>
        <row r="173">
          <cell r="A173" t="str">
            <v>00011625</v>
          </cell>
          <cell r="G173" t="str">
            <v>lilan@whu.edu.cn</v>
          </cell>
        </row>
        <row r="174">
          <cell r="A174" t="str">
            <v>00011627</v>
          </cell>
          <cell r="G174" t="str">
            <v>pxie@whu.edu.cn</v>
          </cell>
        </row>
        <row r="175">
          <cell r="A175" t="str">
            <v>00011629</v>
          </cell>
          <cell r="G175" t="str">
            <v>00011629@whu.edu.cn</v>
          </cell>
        </row>
        <row r="176">
          <cell r="A176" t="str">
            <v>00011630</v>
          </cell>
          <cell r="G176" t="str">
            <v>ymxiao@163.com</v>
          </cell>
        </row>
        <row r="177">
          <cell r="A177" t="str">
            <v>00011631</v>
          </cell>
          <cell r="G177" t="str">
            <v>hongpeng@whu.edu.cn</v>
          </cell>
        </row>
        <row r="178">
          <cell r="A178" t="str">
            <v>00011632</v>
          </cell>
          <cell r="G178" t="str">
            <v>scottzhx@yeah.net</v>
          </cell>
        </row>
        <row r="179">
          <cell r="A179" t="str">
            <v>00011634</v>
          </cell>
          <cell r="G179" t="str">
            <v>00011634@whu.edu.cn</v>
          </cell>
        </row>
        <row r="180">
          <cell r="A180" t="str">
            <v>00011635</v>
          </cell>
          <cell r="G180" t="str">
            <v>tangm@vip.163.com</v>
          </cell>
        </row>
        <row r="181">
          <cell r="A181" t="str">
            <v>00011636</v>
          </cell>
          <cell r="G181" t="str">
            <v>zpxiong@whu.edu.cn</v>
          </cell>
        </row>
        <row r="182">
          <cell r="A182" t="str">
            <v>00011637</v>
          </cell>
          <cell r="G182" t="str">
            <v>chenliwuhee@263.net</v>
          </cell>
        </row>
        <row r="183">
          <cell r="A183" t="str">
            <v>00011639</v>
          </cell>
          <cell r="G183" t="str">
            <v>luozwrc@163.com</v>
          </cell>
        </row>
        <row r="184">
          <cell r="A184" t="str">
            <v>00011643</v>
          </cell>
          <cell r="G184" t="str">
            <v>bmli@whu.edu.cn</v>
          </cell>
        </row>
        <row r="185">
          <cell r="A185" t="str">
            <v>00011645</v>
          </cell>
          <cell r="G185" t="str">
            <v>wxli1964@163.com</v>
          </cell>
        </row>
        <row r="186">
          <cell r="A186" t="str">
            <v>00011646</v>
          </cell>
          <cell r="G186" t="str">
            <v>zhangxf9@public.wh.hb.cn</v>
          </cell>
        </row>
        <row r="187">
          <cell r="A187" t="str">
            <v>00011647</v>
          </cell>
          <cell r="G187" t="str">
            <v>ytli@whu.edu.cn</v>
          </cell>
        </row>
        <row r="188">
          <cell r="A188" t="str">
            <v>00011650</v>
          </cell>
          <cell r="G188" t="str">
            <v>jmsht001@126.com</v>
          </cell>
        </row>
        <row r="189">
          <cell r="A189" t="str">
            <v>00011651</v>
          </cell>
          <cell r="G189" t="str">
            <v>zhilinwei@sohu.com</v>
          </cell>
        </row>
        <row r="190">
          <cell r="A190" t="str">
            <v>00011652</v>
          </cell>
          <cell r="G190" t="str">
            <v>308062968@qq.com</v>
          </cell>
        </row>
        <row r="191">
          <cell r="A191" t="str">
            <v>00011653</v>
          </cell>
          <cell r="G191" t="str">
            <v>mhyu66@263.net</v>
          </cell>
        </row>
        <row r="192">
          <cell r="A192" t="str">
            <v>00011655</v>
          </cell>
          <cell r="G192" t="str">
            <v>kkli@whu.edu.cn</v>
          </cell>
        </row>
        <row r="193">
          <cell r="A193" t="str">
            <v>00011656</v>
          </cell>
          <cell r="G193" t="str">
            <v>liangliqqq@163.com</v>
          </cell>
        </row>
        <row r="194">
          <cell r="A194" t="str">
            <v>00011657</v>
          </cell>
          <cell r="G194" t="str">
            <v>whongxuey@yahoo.com.cn</v>
          </cell>
        </row>
        <row r="195">
          <cell r="A195" t="str">
            <v>00011660</v>
          </cell>
          <cell r="G195" t="str">
            <v>lijx@whu.edu.cn</v>
          </cell>
        </row>
        <row r="196">
          <cell r="A196" t="str">
            <v>00011661</v>
          </cell>
          <cell r="G196" t="str">
            <v>yhcai8830@yahoo.com.cn</v>
          </cell>
        </row>
        <row r="197">
          <cell r="A197" t="str">
            <v>00011662</v>
          </cell>
          <cell r="G197" t="str">
            <v>wuyq@whu.edu.cn</v>
          </cell>
        </row>
        <row r="198">
          <cell r="A198" t="str">
            <v>00011666</v>
          </cell>
          <cell r="G198" t="str">
            <v>lyy2216@126.com</v>
          </cell>
        </row>
        <row r="199">
          <cell r="A199" t="str">
            <v>00011667</v>
          </cell>
          <cell r="G199" t="str">
            <v>1134204525@qq.com</v>
          </cell>
        </row>
        <row r="200">
          <cell r="A200" t="str">
            <v>00011669</v>
          </cell>
          <cell r="G200" t="str">
            <v>xfu@whu.edu.cn</v>
          </cell>
        </row>
        <row r="201">
          <cell r="A201" t="str">
            <v>00011670</v>
          </cell>
          <cell r="G201" t="str">
            <v>wrhes@whu.edu.cn</v>
          </cell>
        </row>
        <row r="202">
          <cell r="A202" t="str">
            <v>00011671</v>
          </cell>
          <cell r="G202" t="str">
            <v>scgao@whu.edu.cn</v>
          </cell>
        </row>
        <row r="203">
          <cell r="A203" t="str">
            <v>00011672</v>
          </cell>
          <cell r="G203" t="str">
            <v>ydmei@whu.edu.cn</v>
          </cell>
        </row>
        <row r="204">
          <cell r="A204" t="str">
            <v>00011673</v>
          </cell>
          <cell r="G204" t="str">
            <v>csl_csl@263.net</v>
          </cell>
        </row>
        <row r="205">
          <cell r="A205" t="str">
            <v>00011677</v>
          </cell>
          <cell r="G205" t="str">
            <v>1097972914@qq.com</v>
          </cell>
        </row>
        <row r="206">
          <cell r="A206" t="str">
            <v>00011680</v>
          </cell>
          <cell r="G206" t="str">
            <v>xsai@whu.edu.cn</v>
          </cell>
        </row>
        <row r="207">
          <cell r="A207" t="str">
            <v>00011681</v>
          </cell>
          <cell r="G207" t="str">
            <v>wanbiao@whu.edu.cn</v>
          </cell>
        </row>
        <row r="208">
          <cell r="A208" t="str">
            <v>00011682</v>
          </cell>
          <cell r="G208" t="str">
            <v>wdmayong@163.com</v>
          </cell>
        </row>
        <row r="209">
          <cell r="A209" t="str">
            <v>00011683</v>
          </cell>
          <cell r="G209" t="str">
            <v>hydrau@whu.edu.cn</v>
          </cell>
        </row>
        <row r="210">
          <cell r="A210" t="str">
            <v>00011685</v>
          </cell>
          <cell r="G210" t="str">
            <v>hshh2@126.com</v>
          </cell>
        </row>
        <row r="211">
          <cell r="A211" t="str">
            <v>00011686</v>
          </cell>
          <cell r="G211" t="str">
            <v>erqi@whu.edu.cn</v>
          </cell>
        </row>
        <row r="212">
          <cell r="A212" t="str">
            <v>00011688</v>
          </cell>
          <cell r="G212" t="str">
            <v>xzhao@whu.edu.cn</v>
          </cell>
        </row>
        <row r="213">
          <cell r="A213" t="str">
            <v>00011689</v>
          </cell>
          <cell r="G213" t="str">
            <v>wangyuyan_99@sina.com</v>
          </cell>
        </row>
        <row r="214">
          <cell r="A214" t="str">
            <v>00011692</v>
          </cell>
          <cell r="G214" t="str">
            <v>wxhuai@whu.edu.cn</v>
          </cell>
        </row>
        <row r="215">
          <cell r="A215" t="str">
            <v>00011693</v>
          </cell>
          <cell r="G215" t="str">
            <v>yangxt@whu.edu.cn</v>
          </cell>
        </row>
        <row r="216">
          <cell r="A216" t="str">
            <v>00011695</v>
          </cell>
          <cell r="G216" t="str">
            <v>00011695@whu.edu.cn</v>
          </cell>
        </row>
        <row r="217">
          <cell r="A217" t="str">
            <v>00011697</v>
          </cell>
          <cell r="G217" t="str">
            <v>00011697@whu.edu.cn</v>
          </cell>
        </row>
        <row r="218">
          <cell r="A218" t="str">
            <v>00011699</v>
          </cell>
          <cell r="G218" t="str">
            <v>mdzhao@whu.edu.cn</v>
          </cell>
        </row>
        <row r="219">
          <cell r="A219" t="str">
            <v>00011702</v>
          </cell>
          <cell r="G219" t="str">
            <v>00011702@whu.edu.cn</v>
          </cell>
        </row>
        <row r="220">
          <cell r="A220" t="str">
            <v>00011704</v>
          </cell>
          <cell r="G220" t="str">
            <v>dhchen@whu.edu.cn</v>
          </cell>
        </row>
        <row r="221">
          <cell r="A221" t="str">
            <v>00012061</v>
          </cell>
          <cell r="G221" t="str">
            <v>ygl516@sina.com</v>
          </cell>
        </row>
        <row r="222">
          <cell r="A222" t="str">
            <v>00012181</v>
          </cell>
          <cell r="G222" t="str">
            <v>qwq10@tom.com</v>
          </cell>
        </row>
        <row r="223">
          <cell r="A223" t="str">
            <v>00012212</v>
          </cell>
          <cell r="G223" t="str">
            <v>changxl@whu.edu.cn</v>
          </cell>
        </row>
        <row r="224">
          <cell r="A224" t="str">
            <v>00012510</v>
          </cell>
          <cell r="G224" t="str">
            <v>zhouyuxia@whu.edu.cn</v>
          </cell>
        </row>
        <row r="225">
          <cell r="A225" t="str">
            <v>00014917</v>
          </cell>
          <cell r="G225" t="str">
            <v>maozhi@whu.edu.cn</v>
          </cell>
        </row>
        <row r="226">
          <cell r="A226" t="str">
            <v>00030122</v>
          </cell>
          <cell r="G226" t="str">
            <v>zhangyj1015@whu.edu.cn</v>
          </cell>
        </row>
        <row r="227">
          <cell r="A227" t="str">
            <v>00030234</v>
          </cell>
          <cell r="G227" t="str">
            <v>00030234@whu.edu.cn</v>
          </cell>
        </row>
        <row r="228">
          <cell r="A228" t="str">
            <v>00030237</v>
          </cell>
          <cell r="G228" t="str">
            <v>linlin.wh@whu.edu.cn</v>
          </cell>
        </row>
        <row r="229">
          <cell r="A229" t="str">
            <v>00030264</v>
          </cell>
          <cell r="G229" t="str">
            <v>xiangzhaowh@126.com</v>
          </cell>
        </row>
        <row r="230">
          <cell r="A230" t="str">
            <v>00030275</v>
          </cell>
          <cell r="G230" t="str">
            <v>1210059216@qq.com</v>
          </cell>
        </row>
        <row r="231">
          <cell r="A231" t="str">
            <v>00030306</v>
          </cell>
          <cell r="G231" t="str">
            <v>609826700@qq.com</v>
          </cell>
        </row>
        <row r="232">
          <cell r="A232" t="str">
            <v>00030310</v>
          </cell>
          <cell r="G232" t="str">
            <v>44827568@qq.com</v>
          </cell>
        </row>
        <row r="233">
          <cell r="A233" t="str">
            <v>00030335</v>
          </cell>
          <cell r="G233" t="str">
            <v>juice@mail.ustc.edu.cn</v>
          </cell>
        </row>
        <row r="234">
          <cell r="A234" t="str">
            <v>00030340</v>
          </cell>
          <cell r="G234" t="str">
            <v>scz4@163.com</v>
          </cell>
        </row>
        <row r="235">
          <cell r="A235" t="str">
            <v>00030305</v>
          </cell>
          <cell r="G235" t="str">
            <v>376610048@qq.com</v>
          </cell>
        </row>
        <row r="236">
          <cell r="A236" t="str">
            <v>00030390</v>
          </cell>
          <cell r="G236" t="str">
            <v>275401420@qq.com</v>
          </cell>
        </row>
        <row r="237">
          <cell r="A237" t="str">
            <v>00011884</v>
          </cell>
          <cell r="G237" t="str">
            <v>644349792@qq.com</v>
          </cell>
        </row>
        <row r="238">
          <cell r="A238" t="str">
            <v>00030451</v>
          </cell>
          <cell r="G238" t="str">
            <v>18208530@qq.com</v>
          </cell>
        </row>
        <row r="239">
          <cell r="A239" t="str">
            <v>00009705</v>
          </cell>
          <cell r="G239" t="str">
            <v>15114982@qq.com</v>
          </cell>
        </row>
        <row r="240">
          <cell r="A240">
            <v>0</v>
          </cell>
        </row>
        <row r="241">
          <cell r="A241">
            <v>0</v>
          </cell>
        </row>
        <row r="242">
          <cell r="A242">
            <v>0</v>
          </cell>
        </row>
        <row r="243">
          <cell r="A243">
            <v>0</v>
          </cell>
        </row>
        <row r="244">
          <cell r="A244">
            <v>0</v>
          </cell>
        </row>
        <row r="245">
          <cell r="A245">
            <v>0</v>
          </cell>
        </row>
        <row r="246">
          <cell r="A246">
            <v>0</v>
          </cell>
        </row>
        <row r="247">
          <cell r="A247">
            <v>0</v>
          </cell>
        </row>
        <row r="248">
          <cell r="A248">
            <v>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财务部报表_无人事号"/>
      <sheetName val="财务部报表_有人事号"/>
      <sheetName val="Temp学校工资单"/>
      <sheetName val="学校工资单"/>
      <sheetName val="银行报表"/>
      <sheetName val="扣税计算"/>
    </sheetNames>
    <sheetDataSet>
      <sheetData sheetId="0"/>
      <sheetData sheetId="1">
        <row r="2">
          <cell r="A2" t="str">
            <v>00014917</v>
          </cell>
          <cell r="B2" t="str">
            <v>茆 智</v>
          </cell>
          <cell r="C2">
            <v>20000</v>
          </cell>
          <cell r="D2">
            <v>0</v>
          </cell>
          <cell r="E2" t="str">
            <v>3202160601010412525</v>
          </cell>
        </row>
        <row r="3">
          <cell r="A3" t="str">
            <v>00011580</v>
          </cell>
          <cell r="B3" t="str">
            <v>杨金忠</v>
          </cell>
          <cell r="C3">
            <v>4950</v>
          </cell>
          <cell r="D3">
            <v>0</v>
          </cell>
          <cell r="E3" t="str">
            <v>3202160601010415080</v>
          </cell>
        </row>
        <row r="4">
          <cell r="A4" t="str">
            <v>00011582</v>
          </cell>
          <cell r="B4" t="str">
            <v>蔡树英</v>
          </cell>
          <cell r="C4">
            <v>4150</v>
          </cell>
          <cell r="D4">
            <v>482.8</v>
          </cell>
          <cell r="E4" t="str">
            <v>3202160601060525501</v>
          </cell>
        </row>
        <row r="5">
          <cell r="A5" t="str">
            <v>00011588</v>
          </cell>
          <cell r="B5" t="str">
            <v>罗金耀</v>
          </cell>
          <cell r="C5">
            <v>4150</v>
          </cell>
          <cell r="D5">
            <v>473.7</v>
          </cell>
          <cell r="E5" t="str">
            <v>3202160601010414329</v>
          </cell>
        </row>
        <row r="6">
          <cell r="A6" t="str">
            <v>00011579</v>
          </cell>
          <cell r="B6" t="str">
            <v>黄介生</v>
          </cell>
          <cell r="C6">
            <v>5650</v>
          </cell>
          <cell r="D6">
            <v>756.76</v>
          </cell>
          <cell r="E6" t="str">
            <v>3202160601010412126</v>
          </cell>
        </row>
        <row r="7">
          <cell r="A7" t="str">
            <v>00011578</v>
          </cell>
          <cell r="B7" t="str">
            <v>胡铁松</v>
          </cell>
          <cell r="C7">
            <v>4150</v>
          </cell>
          <cell r="D7">
            <v>451.05</v>
          </cell>
          <cell r="E7" t="str">
            <v>3202160601010412002</v>
          </cell>
        </row>
        <row r="8">
          <cell r="A8" t="str">
            <v>00011583</v>
          </cell>
          <cell r="B8" t="str">
            <v>邵东国</v>
          </cell>
          <cell r="C8">
            <v>6550</v>
          </cell>
          <cell r="D8">
            <v>915.28000000000009</v>
          </cell>
          <cell r="E8" t="str">
            <v>3202160601010413551</v>
          </cell>
        </row>
        <row r="9">
          <cell r="A9" t="str">
            <v>00011586</v>
          </cell>
          <cell r="B9" t="str">
            <v>崔远来</v>
          </cell>
          <cell r="C9">
            <v>4150</v>
          </cell>
          <cell r="D9">
            <v>430.25</v>
          </cell>
          <cell r="E9" t="str">
            <v>3202160601010413303</v>
          </cell>
        </row>
        <row r="10">
          <cell r="A10" t="str">
            <v>00011587</v>
          </cell>
          <cell r="B10" t="str">
            <v>王修贵</v>
          </cell>
          <cell r="C10">
            <v>3350</v>
          </cell>
          <cell r="D10">
            <v>274.94</v>
          </cell>
          <cell r="E10" t="str">
            <v>3202160601010415107</v>
          </cell>
        </row>
        <row r="11">
          <cell r="A11" t="str">
            <v>00011590</v>
          </cell>
          <cell r="B11" t="str">
            <v>洪 林</v>
          </cell>
          <cell r="C11">
            <v>3350</v>
          </cell>
          <cell r="D11">
            <v>276.33999999999997</v>
          </cell>
          <cell r="E11" t="str">
            <v>3202160601010414728</v>
          </cell>
        </row>
        <row r="12">
          <cell r="A12" t="str">
            <v>00011577</v>
          </cell>
          <cell r="B12" t="str">
            <v>董 斌</v>
          </cell>
          <cell r="C12">
            <v>3350</v>
          </cell>
          <cell r="D12">
            <v>260.44</v>
          </cell>
          <cell r="E12" t="str">
            <v>3202160601010411472</v>
          </cell>
        </row>
        <row r="13">
          <cell r="A13" t="str">
            <v>00010001</v>
          </cell>
          <cell r="B13" t="str">
            <v>王 博</v>
          </cell>
          <cell r="C13">
            <v>2100</v>
          </cell>
          <cell r="D13">
            <v>96.36</v>
          </cell>
          <cell r="E13" t="str">
            <v>3202160601010415231</v>
          </cell>
        </row>
        <row r="14">
          <cell r="A14" t="str">
            <v>00011585</v>
          </cell>
          <cell r="B14" t="str">
            <v>陈维宁</v>
          </cell>
          <cell r="C14">
            <v>640</v>
          </cell>
          <cell r="D14">
            <v>0</v>
          </cell>
          <cell r="E14" t="str">
            <v>3202160601010414976</v>
          </cell>
        </row>
        <row r="15">
          <cell r="A15" t="str">
            <v>00011576</v>
          </cell>
          <cell r="B15" t="str">
            <v>罗 强</v>
          </cell>
          <cell r="C15">
            <v>2100</v>
          </cell>
          <cell r="D15">
            <v>82.55</v>
          </cell>
          <cell r="E15" t="str">
            <v>3202160601010636044</v>
          </cell>
        </row>
        <row r="16">
          <cell r="A16" t="str">
            <v>00011591</v>
          </cell>
          <cell r="B16" t="str">
            <v>陈秀红</v>
          </cell>
          <cell r="C16">
            <v>1300</v>
          </cell>
          <cell r="D16">
            <v>15.68</v>
          </cell>
          <cell r="E16" t="str">
            <v>3202160601010649605</v>
          </cell>
        </row>
        <row r="17">
          <cell r="A17" t="str">
            <v>00011575</v>
          </cell>
          <cell r="B17" t="str">
            <v>黄 爽</v>
          </cell>
          <cell r="C17">
            <v>1950</v>
          </cell>
          <cell r="D17">
            <v>0</v>
          </cell>
          <cell r="E17" t="str">
            <v>3202160601010653150</v>
          </cell>
        </row>
        <row r="18">
          <cell r="A18" t="str">
            <v>00011593</v>
          </cell>
          <cell r="B18" t="str">
            <v>伍靖伟</v>
          </cell>
          <cell r="C18">
            <v>1950</v>
          </cell>
          <cell r="D18">
            <v>45.8</v>
          </cell>
          <cell r="E18" t="str">
            <v>3202160601010820550</v>
          </cell>
        </row>
        <row r="19">
          <cell r="A19" t="str">
            <v>00011592</v>
          </cell>
          <cell r="B19" t="str">
            <v>邱元锋</v>
          </cell>
          <cell r="C19">
            <v>1430</v>
          </cell>
          <cell r="D19">
            <v>18.36</v>
          </cell>
          <cell r="E19" t="str">
            <v>3202160601010866783</v>
          </cell>
        </row>
        <row r="20">
          <cell r="A20" t="str">
            <v>00007483</v>
          </cell>
          <cell r="B20" t="str">
            <v>王 康</v>
          </cell>
          <cell r="C20">
            <v>3350</v>
          </cell>
          <cell r="D20">
            <v>254.22000000000003</v>
          </cell>
          <cell r="E20" t="str">
            <v>3202160601060159028</v>
          </cell>
        </row>
        <row r="21">
          <cell r="A21" t="str">
            <v>00008035</v>
          </cell>
          <cell r="B21" t="str">
            <v>李小平</v>
          </cell>
          <cell r="C21">
            <v>1430</v>
          </cell>
          <cell r="D21">
            <v>17.149999999999999</v>
          </cell>
          <cell r="E21" t="str">
            <v>3202160601062235073</v>
          </cell>
        </row>
        <row r="22">
          <cell r="A22" t="str">
            <v>00009305</v>
          </cell>
          <cell r="B22" t="str">
            <v>顾文权</v>
          </cell>
          <cell r="C22">
            <v>1430</v>
          </cell>
          <cell r="D22">
            <v>14.93</v>
          </cell>
          <cell r="E22" t="str">
            <v>3202160601064301762</v>
          </cell>
        </row>
        <row r="23">
          <cell r="A23" t="str">
            <v>00009377</v>
          </cell>
          <cell r="B23" t="str">
            <v>史良胜</v>
          </cell>
          <cell r="C23">
            <v>5000</v>
          </cell>
          <cell r="D23">
            <v>341.23</v>
          </cell>
          <cell r="E23" t="str">
            <v>3202160601064342040</v>
          </cell>
        </row>
        <row r="24">
          <cell r="A24" t="str">
            <v>00011269</v>
          </cell>
          <cell r="B24" t="str">
            <v>王长德</v>
          </cell>
          <cell r="C24">
            <v>4950</v>
          </cell>
          <cell r="D24">
            <v>0</v>
          </cell>
          <cell r="E24" t="str">
            <v>3202160601010416408</v>
          </cell>
        </row>
        <row r="25">
          <cell r="A25" t="str">
            <v>00011610</v>
          </cell>
          <cell r="B25" t="str">
            <v>石自堂</v>
          </cell>
          <cell r="C25">
            <v>3350</v>
          </cell>
          <cell r="D25">
            <v>283.77999999999997</v>
          </cell>
          <cell r="E25" t="str">
            <v>3202160601010416532</v>
          </cell>
        </row>
        <row r="26">
          <cell r="A26" t="str">
            <v>00011603</v>
          </cell>
          <cell r="B26" t="str">
            <v>刘川顺</v>
          </cell>
          <cell r="C26">
            <v>3350</v>
          </cell>
          <cell r="D26">
            <v>277.01000000000005</v>
          </cell>
          <cell r="E26" t="str">
            <v>3202160601010417310</v>
          </cell>
        </row>
        <row r="27">
          <cell r="A27" t="str">
            <v>00011602</v>
          </cell>
          <cell r="B27" t="str">
            <v>李长城</v>
          </cell>
          <cell r="C27">
            <v>2100</v>
          </cell>
          <cell r="D27">
            <v>114.97</v>
          </cell>
          <cell r="E27" t="str">
            <v>3202160601010639823</v>
          </cell>
        </row>
        <row r="28">
          <cell r="A28" t="str">
            <v>00011609</v>
          </cell>
          <cell r="B28" t="str">
            <v>马有国</v>
          </cell>
          <cell r="C28">
            <v>2300</v>
          </cell>
          <cell r="D28">
            <v>141.03</v>
          </cell>
          <cell r="E28" t="str">
            <v>3202160601010416931</v>
          </cell>
        </row>
        <row r="29">
          <cell r="A29" t="str">
            <v>00011611</v>
          </cell>
          <cell r="B29" t="str">
            <v>夏富洲</v>
          </cell>
          <cell r="C29">
            <v>2300</v>
          </cell>
          <cell r="D29">
            <v>136.88999999999999</v>
          </cell>
          <cell r="E29" t="str">
            <v>3202160601010416807</v>
          </cell>
        </row>
        <row r="30">
          <cell r="A30" t="str">
            <v>00011606</v>
          </cell>
          <cell r="B30" t="str">
            <v>阮新建</v>
          </cell>
          <cell r="C30">
            <v>3350</v>
          </cell>
          <cell r="D30">
            <v>274.94</v>
          </cell>
          <cell r="E30" t="str">
            <v>3202160601010501505</v>
          </cell>
        </row>
        <row r="31">
          <cell r="A31" t="str">
            <v>00011612</v>
          </cell>
          <cell r="B31" t="str">
            <v>田兴参</v>
          </cell>
          <cell r="C31">
            <v>1950</v>
          </cell>
          <cell r="D31">
            <v>67.7</v>
          </cell>
          <cell r="E31" t="str">
            <v>3202160601010416780</v>
          </cell>
        </row>
        <row r="32">
          <cell r="A32" t="str">
            <v>00007907</v>
          </cell>
          <cell r="B32" t="str">
            <v>施玉群</v>
          </cell>
          <cell r="C32">
            <v>1950</v>
          </cell>
          <cell r="D32">
            <v>69.7</v>
          </cell>
          <cell r="E32" t="str">
            <v>3202160601064720622</v>
          </cell>
        </row>
        <row r="33">
          <cell r="A33" t="str">
            <v>00011614</v>
          </cell>
          <cell r="B33" t="str">
            <v>张劲松</v>
          </cell>
          <cell r="C33">
            <v>1950</v>
          </cell>
          <cell r="D33">
            <v>60.8</v>
          </cell>
          <cell r="E33" t="str">
            <v>3202160601010422307</v>
          </cell>
        </row>
        <row r="34">
          <cell r="A34" t="str">
            <v>00011615</v>
          </cell>
          <cell r="B34" t="str">
            <v>方朝阳</v>
          </cell>
          <cell r="C34">
            <v>2100</v>
          </cell>
          <cell r="D34">
            <v>86.99</v>
          </cell>
          <cell r="E34" t="str">
            <v>3202160601010422280</v>
          </cell>
        </row>
        <row r="35">
          <cell r="A35" t="str">
            <v>00008094</v>
          </cell>
          <cell r="B35" t="str">
            <v>李典庆</v>
          </cell>
          <cell r="C35">
            <v>10000</v>
          </cell>
          <cell r="D35">
            <v>1647.08</v>
          </cell>
          <cell r="E35" t="str">
            <v>3202160601062233819</v>
          </cell>
        </row>
        <row r="36">
          <cell r="A36" t="str">
            <v>00011613</v>
          </cell>
          <cell r="B36" t="str">
            <v>马军朝</v>
          </cell>
          <cell r="C36">
            <v>1580</v>
          </cell>
          <cell r="D36">
            <v>32.17</v>
          </cell>
          <cell r="E36" t="str">
            <v>3202160601010416656</v>
          </cell>
        </row>
        <row r="37">
          <cell r="A37" t="str">
            <v>00011601</v>
          </cell>
          <cell r="B37" t="str">
            <v>冯晓波</v>
          </cell>
          <cell r="C37">
            <v>1430</v>
          </cell>
          <cell r="D37">
            <v>18.98</v>
          </cell>
          <cell r="E37" t="str">
            <v>3202160601010704035</v>
          </cell>
        </row>
        <row r="38">
          <cell r="A38" t="str">
            <v>00008413</v>
          </cell>
          <cell r="B38" t="str">
            <v>管光华</v>
          </cell>
          <cell r="C38">
            <v>1950</v>
          </cell>
          <cell r="D38">
            <v>43.46</v>
          </cell>
          <cell r="E38" t="str">
            <v>3202160601063195983</v>
          </cell>
        </row>
        <row r="39">
          <cell r="A39" t="str">
            <v>00010483</v>
          </cell>
          <cell r="B39" t="str">
            <v>冯卫民</v>
          </cell>
          <cell r="C39">
            <v>3350</v>
          </cell>
          <cell r="D39">
            <v>283.77999999999997</v>
          </cell>
          <cell r="E39" t="str">
            <v>6222083202002213904</v>
          </cell>
        </row>
        <row r="40">
          <cell r="A40" t="str">
            <v>00030335</v>
          </cell>
          <cell r="B40" t="str">
            <v>郭志伟</v>
          </cell>
          <cell r="C40">
            <v>1600</v>
          </cell>
          <cell r="D40">
            <v>39.15</v>
          </cell>
          <cell r="E40" t="str">
            <v>6222023202048765217</v>
          </cell>
        </row>
        <row r="41">
          <cell r="A41" t="str">
            <v>00010475</v>
          </cell>
          <cell r="B41" t="str">
            <v>刘德祥</v>
          </cell>
          <cell r="C41">
            <v>2300</v>
          </cell>
          <cell r="D41">
            <v>134.82000000000002</v>
          </cell>
          <cell r="E41" t="str">
            <v>3202160601010418983</v>
          </cell>
        </row>
        <row r="42">
          <cell r="A42" t="str">
            <v>00007774</v>
          </cell>
          <cell r="B42" t="str">
            <v>钱忠东</v>
          </cell>
          <cell r="C42">
            <v>5000</v>
          </cell>
          <cell r="D42">
            <v>507.5</v>
          </cell>
          <cell r="E42" t="str">
            <v>3202160601061344501</v>
          </cell>
        </row>
        <row r="43">
          <cell r="A43" t="str">
            <v>00010471</v>
          </cell>
          <cell r="B43" t="str">
            <v>周龙才</v>
          </cell>
          <cell r="C43">
            <v>2100</v>
          </cell>
          <cell r="D43">
            <v>82.55</v>
          </cell>
          <cell r="E43" t="str">
            <v>3202160601010639149</v>
          </cell>
        </row>
        <row r="44">
          <cell r="A44" t="str">
            <v>00010327</v>
          </cell>
          <cell r="B44" t="str">
            <v>宋元胜</v>
          </cell>
          <cell r="C44">
            <v>2100</v>
          </cell>
          <cell r="D44">
            <v>101.49</v>
          </cell>
          <cell r="E44" t="str">
            <v>3202160601010419486</v>
          </cell>
        </row>
        <row r="45">
          <cell r="A45" t="str">
            <v>00007282</v>
          </cell>
          <cell r="B45" t="str">
            <v>谢 华</v>
          </cell>
          <cell r="C45">
            <v>1950</v>
          </cell>
          <cell r="D45">
            <v>44.06</v>
          </cell>
          <cell r="E45" t="str">
            <v>3202160601011057572</v>
          </cell>
        </row>
        <row r="46">
          <cell r="A46" t="str">
            <v>00011635</v>
          </cell>
          <cell r="B46" t="str">
            <v>谈广鸣</v>
          </cell>
          <cell r="C46">
            <v>6500</v>
          </cell>
          <cell r="D46">
            <v>975.84</v>
          </cell>
          <cell r="E46" t="str">
            <v>3202160601010424483</v>
          </cell>
        </row>
        <row r="47">
          <cell r="A47" t="str">
            <v>00011647</v>
          </cell>
          <cell r="B47" t="str">
            <v>李义天</v>
          </cell>
          <cell r="C47">
            <v>9950</v>
          </cell>
          <cell r="D47">
            <v>1827.3000000000002</v>
          </cell>
          <cell r="E47" t="str">
            <v>3202160601010429144</v>
          </cell>
        </row>
        <row r="48">
          <cell r="A48" t="str">
            <v>00012061</v>
          </cell>
          <cell r="B48" t="str">
            <v>杨国录</v>
          </cell>
          <cell r="C48">
            <v>4950</v>
          </cell>
          <cell r="D48">
            <v>699.86</v>
          </cell>
          <cell r="E48" t="str">
            <v>3202160601011293315</v>
          </cell>
        </row>
        <row r="49">
          <cell r="A49" t="str">
            <v>00011637</v>
          </cell>
          <cell r="B49" t="str">
            <v>陈 立</v>
          </cell>
          <cell r="C49">
            <v>5350</v>
          </cell>
          <cell r="D49">
            <v>691.05</v>
          </cell>
          <cell r="E49" t="str">
            <v>3202160601010424758</v>
          </cell>
        </row>
        <row r="50">
          <cell r="A50" t="str">
            <v>00009454</v>
          </cell>
          <cell r="B50" t="str">
            <v>夏军强</v>
          </cell>
          <cell r="C50">
            <v>7500</v>
          </cell>
          <cell r="D50">
            <v>1058.6500000000001</v>
          </cell>
          <cell r="E50" t="str">
            <v>3202160601064510590</v>
          </cell>
        </row>
        <row r="51">
          <cell r="A51" t="str">
            <v>00009234</v>
          </cell>
          <cell r="B51" t="str">
            <v>舒彩文</v>
          </cell>
          <cell r="C51">
            <v>1950</v>
          </cell>
          <cell r="D51">
            <v>41.84</v>
          </cell>
          <cell r="E51" t="str">
            <v>6222083202003483068</v>
          </cell>
        </row>
        <row r="52">
          <cell r="A52" t="str">
            <v>00011646</v>
          </cell>
          <cell r="B52" t="str">
            <v>张小峰</v>
          </cell>
          <cell r="C52">
            <v>4150</v>
          </cell>
          <cell r="D52">
            <v>467.99</v>
          </cell>
          <cell r="E52" t="str">
            <v>3202160601010424634</v>
          </cell>
        </row>
        <row r="53">
          <cell r="A53" t="str">
            <v>00011651</v>
          </cell>
          <cell r="B53" t="str">
            <v>韦直林</v>
          </cell>
          <cell r="C53">
            <v>4150</v>
          </cell>
          <cell r="D53">
            <v>479.40000000000003</v>
          </cell>
          <cell r="E53" t="str">
            <v>3202160601010428916</v>
          </cell>
        </row>
        <row r="54">
          <cell r="A54" t="str">
            <v>00007776</v>
          </cell>
          <cell r="B54" t="str">
            <v>曹志先</v>
          </cell>
          <cell r="C54">
            <v>4950</v>
          </cell>
          <cell r="D54">
            <v>671.55</v>
          </cell>
          <cell r="E54" t="str">
            <v>3202160601061344474</v>
          </cell>
        </row>
        <row r="55">
          <cell r="A55" t="str">
            <v>00011636</v>
          </cell>
          <cell r="B55" t="str">
            <v>熊治平</v>
          </cell>
          <cell r="C55">
            <v>2300</v>
          </cell>
          <cell r="D55">
            <v>150.07</v>
          </cell>
          <cell r="E55" t="str">
            <v>3202160601010423980</v>
          </cell>
        </row>
        <row r="56">
          <cell r="A56" t="str">
            <v>00011650</v>
          </cell>
          <cell r="B56" t="str">
            <v>吴卫民</v>
          </cell>
          <cell r="C56">
            <v>2300</v>
          </cell>
          <cell r="D56">
            <v>145.45000000000002</v>
          </cell>
          <cell r="E56" t="str">
            <v>3202160601010429392</v>
          </cell>
        </row>
        <row r="57">
          <cell r="A57" t="str">
            <v>00011653</v>
          </cell>
          <cell r="B57" t="str">
            <v>余明辉</v>
          </cell>
          <cell r="C57">
            <v>3350</v>
          </cell>
          <cell r="D57">
            <v>261.84000000000003</v>
          </cell>
          <cell r="E57" t="str">
            <v>3202160601010705061</v>
          </cell>
        </row>
        <row r="58">
          <cell r="A58" t="str">
            <v>00007525</v>
          </cell>
          <cell r="B58" t="str">
            <v>邓金运</v>
          </cell>
          <cell r="C58">
            <v>1950</v>
          </cell>
          <cell r="D58">
            <v>44.62</v>
          </cell>
          <cell r="E58" t="str">
            <v>3202160601060207331</v>
          </cell>
        </row>
        <row r="59">
          <cell r="A59" t="str">
            <v>00007817</v>
          </cell>
          <cell r="B59" t="str">
            <v>孙昭华</v>
          </cell>
          <cell r="C59">
            <v>1950</v>
          </cell>
          <cell r="D59">
            <v>44.06</v>
          </cell>
          <cell r="E59" t="str">
            <v>3202160601061673452</v>
          </cell>
        </row>
        <row r="60">
          <cell r="A60" t="str">
            <v>00008414</v>
          </cell>
          <cell r="B60" t="str">
            <v>张 为</v>
          </cell>
          <cell r="C60">
            <v>1950</v>
          </cell>
          <cell r="D60">
            <v>43.46</v>
          </cell>
          <cell r="E60" t="str">
            <v>3202160601063196087</v>
          </cell>
        </row>
        <row r="61">
          <cell r="A61" t="str">
            <v>00011655</v>
          </cell>
          <cell r="B61" t="str">
            <v>李可可</v>
          </cell>
          <cell r="C61">
            <v>3350</v>
          </cell>
          <cell r="D61">
            <v>274.27</v>
          </cell>
          <cell r="E61" t="str">
            <v>3202160601010382230</v>
          </cell>
        </row>
        <row r="62">
          <cell r="A62" t="str">
            <v>00011656</v>
          </cell>
          <cell r="B62" t="str">
            <v>梁 利</v>
          </cell>
          <cell r="C62">
            <v>1430</v>
          </cell>
          <cell r="D62">
            <v>20.82</v>
          </cell>
          <cell r="E62" t="str">
            <v>3202160601010618284</v>
          </cell>
        </row>
        <row r="63">
          <cell r="A63" t="str">
            <v>00011657</v>
          </cell>
          <cell r="B63" t="str">
            <v>王 红</v>
          </cell>
          <cell r="C63">
            <v>1430</v>
          </cell>
          <cell r="D63">
            <v>22.1</v>
          </cell>
          <cell r="E63" t="str">
            <v>3202160601010636966</v>
          </cell>
        </row>
        <row r="64">
          <cell r="A64" t="str">
            <v>00007818</v>
          </cell>
          <cell r="B64" t="str">
            <v>李 奔</v>
          </cell>
          <cell r="C64">
            <v>1280</v>
          </cell>
          <cell r="D64">
            <v>8.93</v>
          </cell>
          <cell r="E64" t="str">
            <v>3202160601061673328</v>
          </cell>
        </row>
        <row r="65">
          <cell r="A65" t="str">
            <v>00011692</v>
          </cell>
          <cell r="B65" t="str">
            <v>槐文信</v>
          </cell>
          <cell r="C65">
            <v>4950</v>
          </cell>
          <cell r="D65">
            <v>682.78</v>
          </cell>
          <cell r="E65" t="str">
            <v>6222083202004622078</v>
          </cell>
        </row>
        <row r="66">
          <cell r="A66" t="str">
            <v>00011685</v>
          </cell>
          <cell r="B66" t="str">
            <v>黄社华</v>
          </cell>
          <cell r="C66">
            <v>3350</v>
          </cell>
          <cell r="D66">
            <v>277.01000000000005</v>
          </cell>
          <cell r="E66" t="str">
            <v>3202160601010423058</v>
          </cell>
        </row>
        <row r="67">
          <cell r="A67" t="str">
            <v>00011704</v>
          </cell>
          <cell r="B67" t="str">
            <v>陈大宏</v>
          </cell>
          <cell r="C67">
            <v>1900</v>
          </cell>
          <cell r="D67">
            <v>96.89</v>
          </cell>
          <cell r="E67" t="str">
            <v>3202160601010643492</v>
          </cell>
        </row>
        <row r="68">
          <cell r="A68" t="str">
            <v>00011686</v>
          </cell>
          <cell r="B68" t="str">
            <v>齐鄂荣</v>
          </cell>
          <cell r="C68">
            <v>2300</v>
          </cell>
          <cell r="D68">
            <v>145.45000000000002</v>
          </cell>
          <cell r="E68" t="str">
            <v>3202160601010426287</v>
          </cell>
        </row>
        <row r="69">
          <cell r="A69" t="str">
            <v>00011688</v>
          </cell>
          <cell r="B69" t="str">
            <v>赵 昕</v>
          </cell>
          <cell r="C69">
            <v>2300</v>
          </cell>
          <cell r="D69">
            <v>145.45000000000002</v>
          </cell>
          <cell r="E69" t="str">
            <v>3202160601010427189</v>
          </cell>
        </row>
        <row r="70">
          <cell r="A70" t="str">
            <v>00011693</v>
          </cell>
          <cell r="B70" t="str">
            <v>杨晓亭</v>
          </cell>
          <cell r="C70">
            <v>2300</v>
          </cell>
          <cell r="D70">
            <v>134.82000000000002</v>
          </cell>
          <cell r="E70" t="str">
            <v>3202160601010427065</v>
          </cell>
        </row>
        <row r="71">
          <cell r="A71" t="str">
            <v>00011699</v>
          </cell>
          <cell r="B71" t="str">
            <v>赵明登</v>
          </cell>
          <cell r="C71">
            <v>3350</v>
          </cell>
          <cell r="D71">
            <v>272.87</v>
          </cell>
          <cell r="E71" t="str">
            <v>3202160601010426961</v>
          </cell>
        </row>
        <row r="72">
          <cell r="A72" t="str">
            <v>00007283</v>
          </cell>
          <cell r="B72" t="str">
            <v>曾玉红</v>
          </cell>
          <cell r="C72">
            <v>1950</v>
          </cell>
          <cell r="D72">
            <v>44.66</v>
          </cell>
          <cell r="E72" t="str">
            <v>3202160601011057173</v>
          </cell>
        </row>
        <row r="73">
          <cell r="A73" t="str">
            <v>00007720</v>
          </cell>
          <cell r="B73" t="str">
            <v>杨中华</v>
          </cell>
          <cell r="C73">
            <v>1950</v>
          </cell>
          <cell r="D73">
            <v>44.06</v>
          </cell>
          <cell r="E73" t="str">
            <v>3202160601060876990</v>
          </cell>
        </row>
        <row r="74">
          <cell r="A74" t="str">
            <v>00009235</v>
          </cell>
          <cell r="B74" t="str">
            <v>李 丹</v>
          </cell>
          <cell r="C74">
            <v>1430</v>
          </cell>
          <cell r="D74">
            <v>14.93</v>
          </cell>
          <cell r="E74" t="str">
            <v>3202160601063515736</v>
          </cell>
        </row>
        <row r="75">
          <cell r="A75" t="str">
            <v>00011466</v>
          </cell>
          <cell r="B75" t="str">
            <v>刘士和</v>
          </cell>
          <cell r="C75">
            <v>4950</v>
          </cell>
          <cell r="D75">
            <v>692.45999999999992</v>
          </cell>
          <cell r="E75" t="str">
            <v>3202160601060288430</v>
          </cell>
        </row>
        <row r="76">
          <cell r="A76" t="str">
            <v>00011467</v>
          </cell>
          <cell r="B76" t="str">
            <v>陆 晶</v>
          </cell>
          <cell r="C76">
            <v>2100</v>
          </cell>
          <cell r="D76">
            <v>82.38</v>
          </cell>
          <cell r="E76" t="str">
            <v>3202160601010635940</v>
          </cell>
        </row>
        <row r="77">
          <cell r="A77" t="str">
            <v>00011672</v>
          </cell>
          <cell r="B77" t="str">
            <v>梅亚东</v>
          </cell>
          <cell r="C77">
            <v>5350</v>
          </cell>
          <cell r="D77">
            <v>691.05</v>
          </cell>
          <cell r="E77" t="str">
            <v>3202160601010468939</v>
          </cell>
        </row>
        <row r="78">
          <cell r="A78" t="str">
            <v>00008820</v>
          </cell>
          <cell r="B78" t="str">
            <v>董前进</v>
          </cell>
          <cell r="C78">
            <v>1950</v>
          </cell>
          <cell r="D78">
            <v>42.9</v>
          </cell>
          <cell r="E78" t="str">
            <v>3202160601063510703</v>
          </cell>
        </row>
        <row r="79">
          <cell r="A79" t="str">
            <v>00011673</v>
          </cell>
          <cell r="B79" t="str">
            <v>陈森林</v>
          </cell>
          <cell r="C79">
            <v>3350</v>
          </cell>
          <cell r="D79">
            <v>277.01000000000005</v>
          </cell>
          <cell r="E79" t="str">
            <v>6212883202000036177</v>
          </cell>
        </row>
        <row r="80">
          <cell r="A80" t="str">
            <v>00011677</v>
          </cell>
          <cell r="B80" t="str">
            <v>万 俊</v>
          </cell>
          <cell r="C80">
            <v>2300</v>
          </cell>
          <cell r="D80">
            <v>141.03</v>
          </cell>
          <cell r="E80" t="str">
            <v>3202160601010468788</v>
          </cell>
        </row>
        <row r="81">
          <cell r="A81" t="str">
            <v>00011671</v>
          </cell>
          <cell r="B81" t="str">
            <v>高似春</v>
          </cell>
          <cell r="C81">
            <v>2100</v>
          </cell>
          <cell r="D81">
            <v>105.74000000000001</v>
          </cell>
          <cell r="E81" t="str">
            <v>3202160601011314854</v>
          </cell>
        </row>
        <row r="82">
          <cell r="A82" t="str">
            <v>00011669</v>
          </cell>
          <cell r="B82" t="str">
            <v>付 湘</v>
          </cell>
          <cell r="C82">
            <v>3350</v>
          </cell>
          <cell r="D82">
            <v>258.73</v>
          </cell>
          <cell r="E82" t="str">
            <v>3202160601010705460</v>
          </cell>
        </row>
        <row r="83">
          <cell r="A83" t="str">
            <v>00011680</v>
          </cell>
          <cell r="B83" t="str">
            <v>艾学山</v>
          </cell>
          <cell r="C83">
            <v>1950</v>
          </cell>
          <cell r="D83">
            <v>0</v>
          </cell>
          <cell r="E83" t="str">
            <v>3202160601010649454</v>
          </cell>
        </row>
        <row r="84">
          <cell r="A84" t="str">
            <v>00011682</v>
          </cell>
          <cell r="B84" t="str">
            <v>马 勇</v>
          </cell>
          <cell r="C84">
            <v>1580</v>
          </cell>
          <cell r="D84">
            <v>29.38</v>
          </cell>
          <cell r="E84" t="str">
            <v>3202160601010862129</v>
          </cell>
        </row>
        <row r="85">
          <cell r="A85" t="str">
            <v>00011681</v>
          </cell>
          <cell r="B85" t="str">
            <v>万 飚</v>
          </cell>
          <cell r="C85">
            <v>1430</v>
          </cell>
          <cell r="D85">
            <v>18.36</v>
          </cell>
          <cell r="E85" t="str">
            <v>3202160601010861750</v>
          </cell>
        </row>
        <row r="86">
          <cell r="A86" t="str">
            <v>00011622</v>
          </cell>
          <cell r="B86" t="str">
            <v>宋星原</v>
          </cell>
          <cell r="C86">
            <v>4150</v>
          </cell>
          <cell r="D86">
            <v>485.59999999999997</v>
          </cell>
          <cell r="E86" t="str">
            <v>3202160601062355994</v>
          </cell>
        </row>
        <row r="87">
          <cell r="A87" t="str">
            <v>00030122</v>
          </cell>
          <cell r="B87" t="str">
            <v>张艳军</v>
          </cell>
          <cell r="C87">
            <v>1580</v>
          </cell>
          <cell r="D87">
            <v>20.49</v>
          </cell>
          <cell r="E87" t="str">
            <v>3202160601064830165</v>
          </cell>
        </row>
        <row r="88">
          <cell r="A88" t="str">
            <v>00010682</v>
          </cell>
          <cell r="B88" t="str">
            <v>郭生练</v>
          </cell>
          <cell r="C88">
            <v>4950</v>
          </cell>
          <cell r="D88">
            <v>43.5</v>
          </cell>
          <cell r="E88" t="str">
            <v>3202160601010428517</v>
          </cell>
        </row>
        <row r="89">
          <cell r="A89" t="str">
            <v>00011625</v>
          </cell>
          <cell r="B89" t="str">
            <v>李 兰</v>
          </cell>
          <cell r="C89">
            <v>4150</v>
          </cell>
          <cell r="D89">
            <v>477.1</v>
          </cell>
          <cell r="E89" t="str">
            <v>3202160601010621229</v>
          </cell>
        </row>
        <row r="90">
          <cell r="A90" t="str">
            <v>00011627</v>
          </cell>
          <cell r="B90" t="str">
            <v>谢 平</v>
          </cell>
          <cell r="C90">
            <v>3350</v>
          </cell>
          <cell r="D90">
            <v>279.09000000000003</v>
          </cell>
          <cell r="E90" t="str">
            <v>3202160601010428641</v>
          </cell>
        </row>
        <row r="91">
          <cell r="A91" t="str">
            <v>00011618</v>
          </cell>
          <cell r="B91" t="str">
            <v>熊立华</v>
          </cell>
          <cell r="C91">
            <v>9900</v>
          </cell>
          <cell r="D91">
            <v>1642.27</v>
          </cell>
          <cell r="E91" t="str">
            <v>3202160601010629642</v>
          </cell>
        </row>
        <row r="92">
          <cell r="A92" t="str">
            <v>00030237</v>
          </cell>
          <cell r="B92" t="str">
            <v>林 琳</v>
          </cell>
          <cell r="C92">
            <v>1950</v>
          </cell>
          <cell r="D92">
            <v>44.06</v>
          </cell>
          <cell r="E92" t="str">
            <v>6222083202001881461</v>
          </cell>
        </row>
        <row r="93">
          <cell r="A93" t="str">
            <v>00011632</v>
          </cell>
          <cell r="B93" t="str">
            <v>张 翔SL</v>
          </cell>
          <cell r="C93">
            <v>3350</v>
          </cell>
          <cell r="D93">
            <v>262.10000000000002</v>
          </cell>
          <cell r="E93" t="str">
            <v>3202160601010645447</v>
          </cell>
        </row>
        <row r="94">
          <cell r="A94" t="str">
            <v>00009667</v>
          </cell>
          <cell r="B94" t="str">
            <v>刘德地</v>
          </cell>
          <cell r="C94">
            <v>1950</v>
          </cell>
          <cell r="D94">
            <v>43.46</v>
          </cell>
          <cell r="E94" t="str">
            <v>6222023202023264756</v>
          </cell>
        </row>
        <row r="95">
          <cell r="A95" t="str">
            <v>00011630</v>
          </cell>
          <cell r="B95" t="str">
            <v>肖益民</v>
          </cell>
          <cell r="C95">
            <v>2100</v>
          </cell>
          <cell r="D95">
            <v>100.93</v>
          </cell>
          <cell r="E95" t="str">
            <v>3202160601010427863</v>
          </cell>
        </row>
        <row r="96">
          <cell r="A96" t="str">
            <v>00011631</v>
          </cell>
          <cell r="B96" t="str">
            <v>彭 虹</v>
          </cell>
          <cell r="C96">
            <v>2100</v>
          </cell>
          <cell r="D96">
            <v>88.99</v>
          </cell>
          <cell r="E96" t="str">
            <v>3202160601010641289</v>
          </cell>
        </row>
        <row r="97">
          <cell r="A97" t="str">
            <v>00011619</v>
          </cell>
          <cell r="B97" t="str">
            <v>夏 军</v>
          </cell>
          <cell r="C97">
            <v>7500</v>
          </cell>
          <cell r="D97">
            <v>1237.52</v>
          </cell>
          <cell r="E97" t="str">
            <v>3202160601065200215</v>
          </cell>
        </row>
        <row r="98">
          <cell r="A98" t="str">
            <v>00011617</v>
          </cell>
          <cell r="B98" t="str">
            <v>张利平</v>
          </cell>
          <cell r="C98">
            <v>3350</v>
          </cell>
          <cell r="D98">
            <v>254.22000000000003</v>
          </cell>
          <cell r="E98" t="str">
            <v>3202160601010638770</v>
          </cell>
        </row>
        <row r="99">
          <cell r="A99" t="str">
            <v>00008034</v>
          </cell>
          <cell r="B99" t="str">
            <v>刘 攀</v>
          </cell>
          <cell r="C99">
            <v>1950</v>
          </cell>
          <cell r="D99">
            <v>44.06</v>
          </cell>
          <cell r="E99" t="str">
            <v>3202160601062235197</v>
          </cell>
        </row>
        <row r="100">
          <cell r="A100" t="str">
            <v>00030234</v>
          </cell>
          <cell r="B100" t="str">
            <v>DavidRhe</v>
          </cell>
          <cell r="C100">
            <v>2000</v>
          </cell>
          <cell r="D100">
            <v>12.15</v>
          </cell>
          <cell r="E100" t="str">
            <v>6222023202043535896</v>
          </cell>
        </row>
        <row r="101">
          <cell r="A101" t="str">
            <v>00008417</v>
          </cell>
          <cell r="B101" t="str">
            <v>陈 华</v>
          </cell>
          <cell r="C101">
            <v>1950</v>
          </cell>
          <cell r="D101">
            <v>43.46</v>
          </cell>
          <cell r="E101" t="str">
            <v>3202160601063196362</v>
          </cell>
        </row>
        <row r="102">
          <cell r="A102" t="str">
            <v>00010188</v>
          </cell>
          <cell r="B102" t="str">
            <v>段亚辉</v>
          </cell>
          <cell r="C102">
            <v>4150</v>
          </cell>
          <cell r="D102">
            <v>467.99</v>
          </cell>
          <cell r="E102" t="str">
            <v>3202160601010436344</v>
          </cell>
        </row>
        <row r="103">
          <cell r="A103" t="str">
            <v>00011510</v>
          </cell>
          <cell r="B103" t="str">
            <v>陈胜宏</v>
          </cell>
          <cell r="C103">
            <v>4950</v>
          </cell>
          <cell r="D103">
            <v>699.86</v>
          </cell>
          <cell r="E103" t="str">
            <v>3202160601010436619</v>
          </cell>
        </row>
        <row r="104">
          <cell r="A104" t="str">
            <v>00009855</v>
          </cell>
          <cell r="B104" t="str">
            <v>何 吉</v>
          </cell>
          <cell r="C104">
            <v>1580</v>
          </cell>
          <cell r="D104">
            <v>15.16</v>
          </cell>
          <cell r="E104" t="str">
            <v>3202160601064738790</v>
          </cell>
        </row>
        <row r="105">
          <cell r="A105" t="str">
            <v>00012212</v>
          </cell>
          <cell r="B105" t="str">
            <v>常晓林</v>
          </cell>
          <cell r="C105">
            <v>7450</v>
          </cell>
          <cell r="D105">
            <v>1177.25</v>
          </cell>
          <cell r="E105" t="str">
            <v>3202160601010436867</v>
          </cell>
        </row>
        <row r="106">
          <cell r="A106" t="str">
            <v>00011506</v>
          </cell>
          <cell r="B106" t="str">
            <v>何蕴龙</v>
          </cell>
          <cell r="C106">
            <v>3350</v>
          </cell>
          <cell r="D106">
            <v>281.43</v>
          </cell>
          <cell r="E106" t="str">
            <v>3202160601010622929</v>
          </cell>
        </row>
        <row r="107">
          <cell r="A107" t="str">
            <v>00011501</v>
          </cell>
          <cell r="B107" t="str">
            <v>赖国伟</v>
          </cell>
          <cell r="C107">
            <v>3350</v>
          </cell>
          <cell r="D107">
            <v>281.43</v>
          </cell>
          <cell r="E107" t="str">
            <v>3202160601010437095</v>
          </cell>
        </row>
        <row r="108">
          <cell r="A108" t="str">
            <v>00011503</v>
          </cell>
          <cell r="B108" t="str">
            <v>佘成学</v>
          </cell>
          <cell r="C108">
            <v>3350</v>
          </cell>
          <cell r="D108">
            <v>274.94</v>
          </cell>
          <cell r="E108" t="str">
            <v>3202160601010436991</v>
          </cell>
        </row>
        <row r="109">
          <cell r="A109" t="str">
            <v>00011511</v>
          </cell>
          <cell r="B109" t="str">
            <v>王均星</v>
          </cell>
          <cell r="C109">
            <v>3350</v>
          </cell>
          <cell r="D109">
            <v>272.87</v>
          </cell>
          <cell r="E109" t="str">
            <v>3202160601010436743</v>
          </cell>
        </row>
        <row r="110">
          <cell r="A110" t="str">
            <v>00011500</v>
          </cell>
          <cell r="B110" t="str">
            <v>李 民</v>
          </cell>
          <cell r="C110">
            <v>2300</v>
          </cell>
          <cell r="D110">
            <v>134.82000000000002</v>
          </cell>
          <cell r="E110" t="str">
            <v>3202160601010437122</v>
          </cell>
        </row>
        <row r="111">
          <cell r="A111" t="str">
            <v>00011499</v>
          </cell>
          <cell r="B111" t="str">
            <v>何金平</v>
          </cell>
          <cell r="C111">
            <v>3350</v>
          </cell>
          <cell r="D111">
            <v>263.75</v>
          </cell>
          <cell r="E111" t="str">
            <v>3202160601010437246</v>
          </cell>
        </row>
        <row r="112">
          <cell r="A112" t="str">
            <v>00011505</v>
          </cell>
          <cell r="B112" t="str">
            <v>费文才</v>
          </cell>
          <cell r="C112">
            <v>2100</v>
          </cell>
          <cell r="D112">
            <v>98.93</v>
          </cell>
          <cell r="E112" t="str">
            <v>3202160601010437494</v>
          </cell>
        </row>
        <row r="113">
          <cell r="A113" t="str">
            <v>00011497</v>
          </cell>
          <cell r="B113" t="str">
            <v>徐明毅</v>
          </cell>
          <cell r="C113">
            <v>1950</v>
          </cell>
          <cell r="D113">
            <v>54.09</v>
          </cell>
          <cell r="E113" t="str">
            <v>3202160601061094020</v>
          </cell>
        </row>
        <row r="114">
          <cell r="A114" t="str">
            <v>00007816</v>
          </cell>
          <cell r="B114" t="str">
            <v>周 伟</v>
          </cell>
          <cell r="C114">
            <v>6200</v>
          </cell>
          <cell r="D114">
            <v>747.5</v>
          </cell>
          <cell r="E114" t="str">
            <v>3202160601061671896</v>
          </cell>
        </row>
        <row r="115">
          <cell r="A115" t="str">
            <v>00009654</v>
          </cell>
          <cell r="B115" t="str">
            <v>程勇刚</v>
          </cell>
          <cell r="C115">
            <v>1600</v>
          </cell>
          <cell r="D115">
            <v>15.76</v>
          </cell>
          <cell r="E115" t="str">
            <v>3202160601064713821</v>
          </cell>
        </row>
        <row r="116">
          <cell r="A116" t="str">
            <v>00011521</v>
          </cell>
          <cell r="B116" t="str">
            <v>舒大强</v>
          </cell>
          <cell r="C116">
            <v>4150</v>
          </cell>
          <cell r="D116">
            <v>456.76</v>
          </cell>
          <cell r="E116" t="str">
            <v>3202160601010441864</v>
          </cell>
        </row>
        <row r="117">
          <cell r="A117" t="str">
            <v>00011529</v>
          </cell>
          <cell r="B117" t="str">
            <v>胡志根</v>
          </cell>
          <cell r="C117">
            <v>4150</v>
          </cell>
          <cell r="D117">
            <v>451.05</v>
          </cell>
          <cell r="E117" t="str">
            <v>3202160601010440838</v>
          </cell>
        </row>
        <row r="118">
          <cell r="A118" t="str">
            <v>00011525</v>
          </cell>
          <cell r="B118" t="str">
            <v>卢文波</v>
          </cell>
          <cell r="C118">
            <v>9900</v>
          </cell>
          <cell r="D118">
            <v>1741.8200000000002</v>
          </cell>
          <cell r="E118" t="str">
            <v>6222083202001647870</v>
          </cell>
        </row>
        <row r="119">
          <cell r="A119" t="str">
            <v>00009823</v>
          </cell>
          <cell r="B119" t="str">
            <v>严 鹏</v>
          </cell>
          <cell r="C119">
            <v>1950</v>
          </cell>
          <cell r="D119">
            <v>43.46</v>
          </cell>
          <cell r="E119" t="str">
            <v>3202160601064783837</v>
          </cell>
        </row>
        <row r="120">
          <cell r="A120" t="str">
            <v>00011518</v>
          </cell>
          <cell r="B120" t="str">
            <v>朱传云</v>
          </cell>
          <cell r="C120">
            <v>2300</v>
          </cell>
          <cell r="D120">
            <v>152.43</v>
          </cell>
          <cell r="E120" t="str">
            <v>3202160601010441589</v>
          </cell>
        </row>
        <row r="121">
          <cell r="A121" t="str">
            <v>00011522</v>
          </cell>
          <cell r="B121" t="str">
            <v>申明亮</v>
          </cell>
          <cell r="C121">
            <v>2300</v>
          </cell>
          <cell r="D121">
            <v>136.88999999999999</v>
          </cell>
          <cell r="E121" t="str">
            <v>3202160601010626537</v>
          </cell>
        </row>
        <row r="122">
          <cell r="A122" t="str">
            <v>00011523</v>
          </cell>
          <cell r="B122" t="str">
            <v>吴益明</v>
          </cell>
          <cell r="C122">
            <v>2100</v>
          </cell>
          <cell r="D122">
            <v>98.93</v>
          </cell>
          <cell r="E122" t="str">
            <v>6222023202050056679</v>
          </cell>
        </row>
        <row r="123">
          <cell r="A123" t="str">
            <v>00011517</v>
          </cell>
          <cell r="B123" t="str">
            <v>贺昌海</v>
          </cell>
          <cell r="C123">
            <v>3350</v>
          </cell>
          <cell r="D123">
            <v>263.75</v>
          </cell>
          <cell r="E123" t="str">
            <v>3202160601010442243</v>
          </cell>
        </row>
        <row r="124">
          <cell r="A124" t="str">
            <v>00011527</v>
          </cell>
          <cell r="B124" t="str">
            <v>杨 磊</v>
          </cell>
          <cell r="C124">
            <v>1950</v>
          </cell>
          <cell r="D124">
            <v>47.87</v>
          </cell>
          <cell r="E124" t="str">
            <v>3202160601010616108</v>
          </cell>
        </row>
        <row r="125">
          <cell r="A125" t="str">
            <v>00011515</v>
          </cell>
          <cell r="B125" t="str">
            <v>肖 宜</v>
          </cell>
          <cell r="C125">
            <v>1950</v>
          </cell>
          <cell r="D125">
            <v>49.87</v>
          </cell>
          <cell r="E125" t="str">
            <v>3202160601010704833</v>
          </cell>
        </row>
        <row r="126">
          <cell r="A126" t="str">
            <v>00007681</v>
          </cell>
          <cell r="B126" t="str">
            <v>刘 全</v>
          </cell>
          <cell r="C126">
            <v>1950</v>
          </cell>
          <cell r="D126">
            <v>0</v>
          </cell>
          <cell r="E126" t="str">
            <v>3202160601060798845</v>
          </cell>
        </row>
        <row r="127">
          <cell r="A127" t="str">
            <v>00007815</v>
          </cell>
          <cell r="B127" t="str">
            <v>曹生荣</v>
          </cell>
          <cell r="C127">
            <v>1950</v>
          </cell>
          <cell r="D127">
            <v>44.06</v>
          </cell>
          <cell r="E127" t="str">
            <v>3202160601061671923</v>
          </cell>
        </row>
        <row r="128">
          <cell r="A128" t="str">
            <v>00008415</v>
          </cell>
          <cell r="B128" t="str">
            <v>陈 明</v>
          </cell>
          <cell r="C128">
            <v>1950</v>
          </cell>
          <cell r="D128">
            <v>43.46</v>
          </cell>
          <cell r="E128" t="str">
            <v>3202160601063196114</v>
          </cell>
        </row>
        <row r="129">
          <cell r="A129" t="str">
            <v>00011435</v>
          </cell>
          <cell r="B129" t="str">
            <v>杨建东</v>
          </cell>
          <cell r="C129">
            <v>4950</v>
          </cell>
          <cell r="D129">
            <v>696.11</v>
          </cell>
          <cell r="E129" t="str">
            <v>3202160601010438946</v>
          </cell>
        </row>
        <row r="130">
          <cell r="A130" t="str">
            <v>00011436</v>
          </cell>
          <cell r="B130" t="str">
            <v>肖 明SD</v>
          </cell>
          <cell r="C130">
            <v>4950</v>
          </cell>
          <cell r="D130">
            <v>688.49</v>
          </cell>
          <cell r="E130" t="str">
            <v>3202160601010438795</v>
          </cell>
        </row>
        <row r="131">
          <cell r="A131" t="str">
            <v>00011434</v>
          </cell>
          <cell r="B131" t="str">
            <v>伍鹤皋</v>
          </cell>
          <cell r="C131">
            <v>4150</v>
          </cell>
          <cell r="D131">
            <v>451.05</v>
          </cell>
          <cell r="E131" t="str">
            <v>3202160601010438822</v>
          </cell>
        </row>
        <row r="132">
          <cell r="A132" t="str">
            <v>00030340</v>
          </cell>
          <cell r="B132" t="str">
            <v>石长征</v>
          </cell>
          <cell r="C132">
            <v>1600</v>
          </cell>
          <cell r="D132">
            <v>39.75</v>
          </cell>
          <cell r="E132" t="str">
            <v>6222023202047054126</v>
          </cell>
        </row>
        <row r="133">
          <cell r="A133" t="str">
            <v>00011437</v>
          </cell>
          <cell r="B133" t="str">
            <v>赖 旭</v>
          </cell>
          <cell r="C133">
            <v>3350</v>
          </cell>
          <cell r="D133">
            <v>272.87</v>
          </cell>
          <cell r="E133" t="str">
            <v>3202160601010439325</v>
          </cell>
        </row>
        <row r="134">
          <cell r="A134" t="str">
            <v>00011433</v>
          </cell>
          <cell r="B134" t="str">
            <v>雷 艳</v>
          </cell>
          <cell r="C134">
            <v>2100</v>
          </cell>
          <cell r="D134">
            <v>100.93</v>
          </cell>
          <cell r="E134" t="str">
            <v>3202160601010439201</v>
          </cell>
        </row>
        <row r="135">
          <cell r="A135" t="str">
            <v>00011438</v>
          </cell>
          <cell r="B135" t="str">
            <v>程永光</v>
          </cell>
          <cell r="C135">
            <v>3350</v>
          </cell>
          <cell r="D135">
            <v>260.44</v>
          </cell>
          <cell r="E135" t="str">
            <v>3202160601010439449</v>
          </cell>
        </row>
        <row r="136">
          <cell r="A136" t="str">
            <v>00011441</v>
          </cell>
          <cell r="B136" t="str">
            <v>李进平</v>
          </cell>
          <cell r="C136">
            <v>1950</v>
          </cell>
          <cell r="D136">
            <v>45.8</v>
          </cell>
          <cell r="E136" t="str">
            <v>3202160601010861874</v>
          </cell>
        </row>
        <row r="137">
          <cell r="A137" t="str">
            <v>00008288</v>
          </cell>
          <cell r="B137" t="str">
            <v>陈俊涛</v>
          </cell>
          <cell r="C137">
            <v>1430</v>
          </cell>
          <cell r="D137">
            <v>17.149999999999999</v>
          </cell>
          <cell r="E137" t="str">
            <v>3202160601062327433</v>
          </cell>
        </row>
        <row r="138">
          <cell r="A138" t="str">
            <v>00008416</v>
          </cell>
          <cell r="B138" t="str">
            <v>苏 凯</v>
          </cell>
          <cell r="C138">
            <v>1950</v>
          </cell>
          <cell r="D138">
            <v>43.46</v>
          </cell>
          <cell r="E138" t="str">
            <v>3202160601063211966</v>
          </cell>
        </row>
        <row r="139">
          <cell r="A139" t="str">
            <v>00011489</v>
          </cell>
          <cell r="B139" t="str">
            <v>何 真</v>
          </cell>
          <cell r="C139">
            <v>3350</v>
          </cell>
          <cell r="D139">
            <v>278.41000000000003</v>
          </cell>
          <cell r="E139" t="str">
            <v>3202160601010444446</v>
          </cell>
        </row>
        <row r="140">
          <cell r="A140" t="str">
            <v>00030451</v>
          </cell>
          <cell r="B140" t="str">
            <v>蔡新华</v>
          </cell>
          <cell r="C140">
            <v>1580</v>
          </cell>
          <cell r="D140">
            <v>15.16</v>
          </cell>
          <cell r="E140" t="str">
            <v>6222023202047636286</v>
          </cell>
        </row>
        <row r="141">
          <cell r="A141" t="str">
            <v>00010189</v>
          </cell>
          <cell r="B141" t="str">
            <v>梁文泉</v>
          </cell>
          <cell r="C141">
            <v>2300</v>
          </cell>
          <cell r="D141">
            <v>136.88999999999999</v>
          </cell>
          <cell r="E141" t="str">
            <v>3202160601010632560</v>
          </cell>
        </row>
        <row r="142">
          <cell r="A142" t="str">
            <v>00011485</v>
          </cell>
          <cell r="B142" t="str">
            <v>曾 力</v>
          </cell>
          <cell r="C142">
            <v>2300</v>
          </cell>
          <cell r="D142">
            <v>133.01</v>
          </cell>
          <cell r="E142" t="str">
            <v>3202160601010444721</v>
          </cell>
        </row>
        <row r="143">
          <cell r="A143" t="str">
            <v>00011486</v>
          </cell>
          <cell r="B143" t="str">
            <v>吴定燕</v>
          </cell>
          <cell r="C143">
            <v>2100</v>
          </cell>
          <cell r="D143">
            <v>98.36</v>
          </cell>
          <cell r="E143" t="str">
            <v>3202160601010444570</v>
          </cell>
        </row>
        <row r="144">
          <cell r="A144" t="str">
            <v>00008898</v>
          </cell>
          <cell r="B144" t="str">
            <v>刘数华</v>
          </cell>
          <cell r="C144">
            <v>1950</v>
          </cell>
          <cell r="D144">
            <v>44.62</v>
          </cell>
          <cell r="E144" t="str">
            <v>3202160601063676385</v>
          </cell>
        </row>
        <row r="145">
          <cell r="A145" t="str">
            <v>00011491</v>
          </cell>
          <cell r="B145" t="str">
            <v>阮 燕</v>
          </cell>
          <cell r="C145">
            <v>2100</v>
          </cell>
          <cell r="D145">
            <v>86.82</v>
          </cell>
          <cell r="E145" t="str">
            <v>3202160601010444845</v>
          </cell>
        </row>
        <row r="146">
          <cell r="A146" t="str">
            <v>00011478</v>
          </cell>
          <cell r="B146" t="str">
            <v>徐 晖</v>
          </cell>
          <cell r="C146">
            <v>2300</v>
          </cell>
          <cell r="D146">
            <v>143.10000000000002</v>
          </cell>
          <cell r="E146" t="str">
            <v>3202160601010443819</v>
          </cell>
        </row>
        <row r="147">
          <cell r="A147" t="str">
            <v>00011475</v>
          </cell>
          <cell r="B147" t="str">
            <v>苏 欣</v>
          </cell>
          <cell r="C147">
            <v>2300</v>
          </cell>
          <cell r="D147">
            <v>143.10000000000002</v>
          </cell>
          <cell r="E147" t="str">
            <v>3202160601010443668</v>
          </cell>
        </row>
        <row r="148">
          <cell r="A148" t="str">
            <v>00011477</v>
          </cell>
          <cell r="B148" t="str">
            <v>邓念武</v>
          </cell>
          <cell r="C148">
            <v>2100</v>
          </cell>
          <cell r="D148">
            <v>89.26</v>
          </cell>
          <cell r="E148" t="str">
            <v>3202160601010443943</v>
          </cell>
        </row>
        <row r="149">
          <cell r="A149" t="str">
            <v>00007612</v>
          </cell>
          <cell r="B149" t="str">
            <v>张晓春</v>
          </cell>
          <cell r="C149">
            <v>1280</v>
          </cell>
          <cell r="D149">
            <v>9.5299999999999994</v>
          </cell>
          <cell r="E149" t="str">
            <v>3202160601060752186</v>
          </cell>
        </row>
        <row r="150">
          <cell r="A150" t="str">
            <v>00008036</v>
          </cell>
          <cell r="B150" t="str">
            <v>金银龙</v>
          </cell>
          <cell r="C150">
            <v>1280</v>
          </cell>
          <cell r="D150">
            <v>8.93</v>
          </cell>
          <cell r="E150" t="str">
            <v>3202160601062234969</v>
          </cell>
        </row>
        <row r="151">
          <cell r="A151" t="str">
            <v>00011180</v>
          </cell>
          <cell r="B151" t="str">
            <v>周创兵</v>
          </cell>
          <cell r="C151">
            <v>2000</v>
          </cell>
          <cell r="D151">
            <v>194.75</v>
          </cell>
          <cell r="E151" t="str">
            <v>3202160601010440315</v>
          </cell>
        </row>
        <row r="152">
          <cell r="A152" t="str">
            <v>00011482</v>
          </cell>
          <cell r="B152" t="str">
            <v>杨连生</v>
          </cell>
          <cell r="C152">
            <v>2300</v>
          </cell>
          <cell r="D152">
            <v>143.10000000000002</v>
          </cell>
          <cell r="E152" t="str">
            <v>3202160601010439972</v>
          </cell>
        </row>
        <row r="153">
          <cell r="A153" t="str">
            <v>00011480</v>
          </cell>
          <cell r="B153" t="str">
            <v>荣 冠</v>
          </cell>
          <cell r="C153">
            <v>1950</v>
          </cell>
          <cell r="D153">
            <v>0</v>
          </cell>
          <cell r="E153" t="str">
            <v>3202160601010440439</v>
          </cell>
        </row>
        <row r="154">
          <cell r="A154" t="str">
            <v>00011481</v>
          </cell>
          <cell r="B154" t="str">
            <v>王 涛SD</v>
          </cell>
          <cell r="C154">
            <v>1950</v>
          </cell>
          <cell r="D154">
            <v>47.87</v>
          </cell>
          <cell r="E154" t="str">
            <v>3202160601010619337</v>
          </cell>
        </row>
        <row r="155">
          <cell r="A155" t="str">
            <v>00007813</v>
          </cell>
          <cell r="B155" t="str">
            <v>陈益峰</v>
          </cell>
          <cell r="C155" t="e">
            <v>#N/A</v>
          </cell>
          <cell r="D155" t="e">
            <v>#N/A</v>
          </cell>
          <cell r="E155" t="e">
            <v>#N/A</v>
          </cell>
        </row>
        <row r="156">
          <cell r="A156" t="str">
            <v>00009934</v>
          </cell>
          <cell r="B156" t="str">
            <v>徐维生</v>
          </cell>
          <cell r="C156">
            <v>1600</v>
          </cell>
          <cell r="D156">
            <v>39.15</v>
          </cell>
          <cell r="E156" t="str">
            <v>6222023202032991647</v>
          </cell>
        </row>
        <row r="157">
          <cell r="A157" t="str">
            <v>00011600</v>
          </cell>
          <cell r="B157" t="str">
            <v>王富庆</v>
          </cell>
          <cell r="C157">
            <v>2300</v>
          </cell>
          <cell r="D157">
            <v>138.96</v>
          </cell>
          <cell r="E157" t="str">
            <v>3202160601010414604</v>
          </cell>
        </row>
        <row r="158">
          <cell r="A158" t="str">
            <v>00011595</v>
          </cell>
          <cell r="B158" t="str">
            <v>唐友生</v>
          </cell>
          <cell r="C158">
            <v>1100</v>
          </cell>
          <cell r="D158">
            <v>3.65</v>
          </cell>
          <cell r="E158" t="str">
            <v>3202160601010903631</v>
          </cell>
        </row>
        <row r="159">
          <cell r="A159" t="str">
            <v>00011597</v>
          </cell>
          <cell r="B159" t="str">
            <v>穆秀英</v>
          </cell>
          <cell r="C159">
            <v>1050</v>
          </cell>
          <cell r="D159">
            <v>2.38</v>
          </cell>
          <cell r="E159" t="str">
            <v>3202160601010652124</v>
          </cell>
        </row>
        <row r="160">
          <cell r="A160" t="str">
            <v>00011596</v>
          </cell>
          <cell r="B160" t="str">
            <v>覃奇志</v>
          </cell>
          <cell r="C160">
            <v>1050</v>
          </cell>
          <cell r="D160">
            <v>0</v>
          </cell>
          <cell r="E160" t="str">
            <v>3202160601010413028</v>
          </cell>
        </row>
        <row r="161">
          <cell r="A161" t="str">
            <v>00010485</v>
          </cell>
          <cell r="B161" t="str">
            <v>韩向远</v>
          </cell>
          <cell r="C161">
            <v>1430</v>
          </cell>
          <cell r="D161">
            <v>24.93</v>
          </cell>
          <cell r="E161" t="str">
            <v>6222083202003675697</v>
          </cell>
        </row>
        <row r="162">
          <cell r="A162" t="str">
            <v>00009682</v>
          </cell>
          <cell r="B162" t="str">
            <v>王志远</v>
          </cell>
          <cell r="C162">
            <v>1200</v>
          </cell>
          <cell r="D162">
            <v>0</v>
          </cell>
          <cell r="E162" t="str">
            <v>6222023202023262818</v>
          </cell>
        </row>
        <row r="163">
          <cell r="A163" t="str">
            <v>00011562</v>
          </cell>
          <cell r="B163" t="str">
            <v>黄汉生</v>
          </cell>
          <cell r="C163">
            <v>2100</v>
          </cell>
          <cell r="D163">
            <v>84.82</v>
          </cell>
          <cell r="E163" t="str">
            <v>3202160601010417035</v>
          </cell>
        </row>
        <row r="164">
          <cell r="A164" t="str">
            <v>00011645</v>
          </cell>
          <cell r="B164" t="str">
            <v>李旺兴</v>
          </cell>
          <cell r="C164">
            <v>2100</v>
          </cell>
          <cell r="D164">
            <v>93.99</v>
          </cell>
          <cell r="E164" t="str">
            <v>3202160601010423856</v>
          </cell>
        </row>
        <row r="165">
          <cell r="A165" t="str">
            <v>00011652</v>
          </cell>
          <cell r="B165" t="str">
            <v>王 丹</v>
          </cell>
          <cell r="C165">
            <v>1580</v>
          </cell>
          <cell r="D165">
            <v>30.64</v>
          </cell>
          <cell r="E165" t="str">
            <v>3202160601010642218</v>
          </cell>
        </row>
        <row r="166">
          <cell r="A166" t="str">
            <v>00011643</v>
          </cell>
          <cell r="B166" t="str">
            <v>李白鸣</v>
          </cell>
          <cell r="C166">
            <v>1580</v>
          </cell>
          <cell r="D166">
            <v>34.5</v>
          </cell>
          <cell r="E166" t="str">
            <v>3202160601060040267</v>
          </cell>
        </row>
        <row r="167">
          <cell r="A167" t="str">
            <v>00011634</v>
          </cell>
          <cell r="B167" t="str">
            <v>姚小明</v>
          </cell>
          <cell r="C167">
            <v>1580</v>
          </cell>
          <cell r="D167">
            <v>32.17</v>
          </cell>
          <cell r="E167" t="str">
            <v>3202160601011267852</v>
          </cell>
        </row>
        <row r="168">
          <cell r="A168" t="str">
            <v>00011689</v>
          </cell>
          <cell r="B168" t="str">
            <v>王京辉</v>
          </cell>
          <cell r="C168">
            <v>1580</v>
          </cell>
          <cell r="D168">
            <v>29.3</v>
          </cell>
          <cell r="E168" t="str">
            <v>3202160601010753337</v>
          </cell>
        </row>
        <row r="169">
          <cell r="A169" t="str">
            <v>00011683</v>
          </cell>
          <cell r="B169" t="str">
            <v>李 琼</v>
          </cell>
          <cell r="C169">
            <v>1950</v>
          </cell>
          <cell r="D169">
            <v>72.069999999999993</v>
          </cell>
          <cell r="E169" t="str">
            <v>3202160601010378011</v>
          </cell>
        </row>
        <row r="170">
          <cell r="A170" t="str">
            <v>00007375</v>
          </cell>
          <cell r="B170" t="str">
            <v>李曰辰</v>
          </cell>
          <cell r="C170">
            <v>1430</v>
          </cell>
          <cell r="D170">
            <v>19.600000000000001</v>
          </cell>
          <cell r="E170" t="str">
            <v>3202160601011291910</v>
          </cell>
        </row>
        <row r="171">
          <cell r="A171" t="str">
            <v>00030275</v>
          </cell>
          <cell r="B171" t="str">
            <v>陈 欢</v>
          </cell>
          <cell r="C171">
            <v>1700</v>
          </cell>
          <cell r="D171">
            <v>5.16</v>
          </cell>
          <cell r="E171" t="str">
            <v>6222083202004207581</v>
          </cell>
        </row>
        <row r="172">
          <cell r="A172" t="str">
            <v>00011695</v>
          </cell>
          <cell r="B172" t="str">
            <v>杨万红</v>
          </cell>
          <cell r="C172">
            <v>1050</v>
          </cell>
          <cell r="D172">
            <v>1.82</v>
          </cell>
          <cell r="E172" t="str">
            <v>3202160601010427216</v>
          </cell>
        </row>
        <row r="173">
          <cell r="A173" t="str">
            <v>00011702</v>
          </cell>
          <cell r="B173" t="str">
            <v>陈隆斌</v>
          </cell>
          <cell r="C173">
            <v>540</v>
          </cell>
          <cell r="D173">
            <v>0</v>
          </cell>
          <cell r="E173" t="str">
            <v>3202160601010426837</v>
          </cell>
        </row>
        <row r="174">
          <cell r="A174" t="str">
            <v>00011697</v>
          </cell>
          <cell r="B174" t="str">
            <v>吕一红</v>
          </cell>
          <cell r="C174">
            <v>660</v>
          </cell>
          <cell r="D174">
            <v>0</v>
          </cell>
          <cell r="E174" t="str">
            <v>3202160601010426713</v>
          </cell>
        </row>
        <row r="175">
          <cell r="A175" t="str">
            <v>00011629</v>
          </cell>
          <cell r="B175" t="str">
            <v>许建明</v>
          </cell>
          <cell r="C175">
            <v>1430</v>
          </cell>
          <cell r="D175">
            <v>23.51</v>
          </cell>
          <cell r="E175" t="str">
            <v>3202160601010428366</v>
          </cell>
        </row>
        <row r="176">
          <cell r="A176" t="str">
            <v>00009739</v>
          </cell>
          <cell r="B176" t="str">
            <v>潘国艳</v>
          </cell>
          <cell r="C176">
            <v>1600</v>
          </cell>
          <cell r="D176">
            <v>8.59</v>
          </cell>
          <cell r="E176" t="str">
            <v>3202160601064691229</v>
          </cell>
        </row>
        <row r="177">
          <cell r="A177" t="str">
            <v>00011432</v>
          </cell>
          <cell r="B177" t="str">
            <v>楚湘林</v>
          </cell>
          <cell r="C177">
            <v>1430</v>
          </cell>
          <cell r="D177">
            <v>27.18</v>
          </cell>
          <cell r="E177" t="str">
            <v>3202160601010800986</v>
          </cell>
        </row>
        <row r="178">
          <cell r="A178" t="str">
            <v>00011560</v>
          </cell>
          <cell r="B178" t="str">
            <v>吴长胜</v>
          </cell>
          <cell r="C178">
            <v>1580</v>
          </cell>
          <cell r="D178">
            <v>32.17</v>
          </cell>
          <cell r="E178" t="str">
            <v>3202160601010467514</v>
          </cell>
        </row>
        <row r="179">
          <cell r="A179" t="str">
            <v>00011561</v>
          </cell>
          <cell r="B179" t="str">
            <v>王学武</v>
          </cell>
          <cell r="C179">
            <v>1580</v>
          </cell>
          <cell r="D179">
            <v>28.7</v>
          </cell>
          <cell r="E179" t="str">
            <v>3202160601010469318</v>
          </cell>
        </row>
        <row r="180">
          <cell r="A180" t="str">
            <v>00030390</v>
          </cell>
          <cell r="B180" t="str">
            <v>李 玲</v>
          </cell>
          <cell r="C180">
            <v>1600</v>
          </cell>
          <cell r="D180">
            <v>39.75</v>
          </cell>
          <cell r="E180" t="str">
            <v>6222023202047636344</v>
          </cell>
        </row>
        <row r="181">
          <cell r="A181" t="str">
            <v>00011502</v>
          </cell>
          <cell r="B181" t="str">
            <v>李桂荣</v>
          </cell>
          <cell r="C181">
            <v>2300</v>
          </cell>
          <cell r="D181">
            <v>138.29</v>
          </cell>
          <cell r="E181" t="str">
            <v>3202160601010436220</v>
          </cell>
        </row>
        <row r="182">
          <cell r="A182" t="str">
            <v>00011459</v>
          </cell>
          <cell r="B182" t="str">
            <v>刘永和</v>
          </cell>
          <cell r="C182">
            <v>1580</v>
          </cell>
          <cell r="D182">
            <v>31.46</v>
          </cell>
          <cell r="E182" t="str">
            <v>3202160601010381053</v>
          </cell>
        </row>
        <row r="183">
          <cell r="A183" t="str">
            <v>00011608</v>
          </cell>
          <cell r="B183" t="str">
            <v>赵荣安</v>
          </cell>
          <cell r="C183">
            <v>1430</v>
          </cell>
          <cell r="D183">
            <v>25.64</v>
          </cell>
          <cell r="E183" t="str">
            <v>3202160601010417159</v>
          </cell>
        </row>
        <row r="184">
          <cell r="A184" t="str">
            <v>00008921</v>
          </cell>
          <cell r="B184" t="str">
            <v>徐 青</v>
          </cell>
          <cell r="C184">
            <v>2100</v>
          </cell>
          <cell r="D184">
            <v>93.63</v>
          </cell>
          <cell r="E184" t="str">
            <v>3202160601063754309</v>
          </cell>
        </row>
        <row r="185">
          <cell r="A185" t="str">
            <v>00011519</v>
          </cell>
          <cell r="B185" t="str">
            <v>周力平</v>
          </cell>
          <cell r="C185">
            <v>2100</v>
          </cell>
          <cell r="D185">
            <v>108.49000000000001</v>
          </cell>
          <cell r="E185" t="str">
            <v>3202160601010441616</v>
          </cell>
        </row>
        <row r="186">
          <cell r="A186" t="str">
            <v>00011508</v>
          </cell>
          <cell r="B186" t="str">
            <v>雷川华</v>
          </cell>
          <cell r="C186">
            <v>1580</v>
          </cell>
          <cell r="D186">
            <v>30.04</v>
          </cell>
          <cell r="E186" t="str">
            <v>3202160601010436592</v>
          </cell>
        </row>
        <row r="187">
          <cell r="A187" t="str">
            <v>00011463</v>
          </cell>
          <cell r="B187" t="str">
            <v>陈天祥</v>
          </cell>
          <cell r="C187">
            <v>1050</v>
          </cell>
          <cell r="D187">
            <v>5.86</v>
          </cell>
          <cell r="E187" t="str">
            <v>3202160601011269780</v>
          </cell>
        </row>
        <row r="188">
          <cell r="A188" t="str">
            <v>00011458</v>
          </cell>
          <cell r="B188" t="str">
            <v>曹克桥</v>
          </cell>
          <cell r="C188">
            <v>1250</v>
          </cell>
          <cell r="D188">
            <v>16.920000000000002</v>
          </cell>
          <cell r="E188" t="str">
            <v>3202160601010380275</v>
          </cell>
        </row>
        <row r="189">
          <cell r="A189" t="str">
            <v>00011442</v>
          </cell>
          <cell r="B189" t="str">
            <v>袁汉芳</v>
          </cell>
          <cell r="C189">
            <v>1050</v>
          </cell>
          <cell r="D189">
            <v>0.16</v>
          </cell>
          <cell r="E189" t="str">
            <v>3202160601010439174</v>
          </cell>
        </row>
        <row r="190">
          <cell r="A190" t="str">
            <v>00011492</v>
          </cell>
          <cell r="B190" t="str">
            <v>涂胜金</v>
          </cell>
          <cell r="C190">
            <v>2300</v>
          </cell>
          <cell r="D190">
            <v>143.10000000000002</v>
          </cell>
          <cell r="E190" t="str">
            <v>3202160601010431683</v>
          </cell>
        </row>
        <row r="191">
          <cell r="A191" t="str">
            <v>00011490</v>
          </cell>
          <cell r="B191" t="str">
            <v>何正勇</v>
          </cell>
          <cell r="C191">
            <v>1580</v>
          </cell>
          <cell r="D191">
            <v>28.05</v>
          </cell>
          <cell r="E191" t="str">
            <v>3202160601010643891</v>
          </cell>
        </row>
        <row r="192">
          <cell r="A192" t="str">
            <v>00008498</v>
          </cell>
          <cell r="B192" t="str">
            <v>杨华山</v>
          </cell>
          <cell r="C192">
            <v>1430</v>
          </cell>
          <cell r="D192">
            <v>17.739999999999998</v>
          </cell>
          <cell r="E192" t="str">
            <v>3202160601063197814</v>
          </cell>
        </row>
        <row r="193">
          <cell r="A193" t="str">
            <v>00011476</v>
          </cell>
          <cell r="B193" t="str">
            <v>刘玉新</v>
          </cell>
          <cell r="C193">
            <v>1580</v>
          </cell>
          <cell r="D193">
            <v>29.38</v>
          </cell>
          <cell r="E193" t="str">
            <v>3202160601010443792</v>
          </cell>
        </row>
        <row r="194">
          <cell r="A194" t="str">
            <v>00011479</v>
          </cell>
          <cell r="B194" t="str">
            <v>李宏明</v>
          </cell>
          <cell r="C194">
            <v>1430</v>
          </cell>
          <cell r="D194">
            <v>21.5</v>
          </cell>
          <cell r="E194" t="str">
            <v>3202160601010439050</v>
          </cell>
        </row>
        <row r="195">
          <cell r="A195" t="str">
            <v>00011443</v>
          </cell>
          <cell r="B195" t="str">
            <v>曾令刚</v>
          </cell>
          <cell r="C195">
            <v>1580</v>
          </cell>
          <cell r="D195">
            <v>34.5</v>
          </cell>
          <cell r="E195" t="str">
            <v>3202160601010498781</v>
          </cell>
        </row>
        <row r="196">
          <cell r="A196" t="str">
            <v>00011464</v>
          </cell>
          <cell r="B196" t="str">
            <v>魏国强</v>
          </cell>
          <cell r="C196">
            <v>1580</v>
          </cell>
          <cell r="D196">
            <v>35.39</v>
          </cell>
          <cell r="E196" t="str">
            <v>3202160601010378410</v>
          </cell>
        </row>
        <row r="197">
          <cell r="A197" t="str">
            <v>00011616</v>
          </cell>
          <cell r="B197" t="str">
            <v>狄 鸿</v>
          </cell>
          <cell r="C197">
            <v>1430</v>
          </cell>
          <cell r="D197">
            <v>20.2</v>
          </cell>
          <cell r="E197" t="str">
            <v>3202160601010378933</v>
          </cell>
        </row>
        <row r="198">
          <cell r="A198" t="str">
            <v>00011667</v>
          </cell>
          <cell r="B198" t="str">
            <v>钱小玉</v>
          </cell>
          <cell r="C198">
            <v>1430</v>
          </cell>
          <cell r="D198">
            <v>24.11</v>
          </cell>
          <cell r="E198" t="str">
            <v>3202160601010646349</v>
          </cell>
        </row>
        <row r="199">
          <cell r="A199" t="str">
            <v>00011563</v>
          </cell>
          <cell r="B199" t="str">
            <v>李 莫</v>
          </cell>
          <cell r="C199">
            <v>1430</v>
          </cell>
          <cell r="D199">
            <v>22.1</v>
          </cell>
          <cell r="E199" t="str">
            <v>3202160601010652248</v>
          </cell>
        </row>
        <row r="200">
          <cell r="A200" t="str">
            <v>00011469</v>
          </cell>
          <cell r="B200" t="str">
            <v>朱铁容</v>
          </cell>
          <cell r="C200">
            <v>1280</v>
          </cell>
          <cell r="D200">
            <v>18.27</v>
          </cell>
          <cell r="E200" t="str">
            <v>3202160601010742254</v>
          </cell>
        </row>
        <row r="201">
          <cell r="A201" t="str">
            <v>00011639</v>
          </cell>
          <cell r="B201" t="str">
            <v>雒 征</v>
          </cell>
          <cell r="C201">
            <v>1580</v>
          </cell>
          <cell r="D201">
            <v>30.64</v>
          </cell>
          <cell r="E201" t="str">
            <v>3202160601010424510</v>
          </cell>
        </row>
        <row r="202">
          <cell r="A202" t="str">
            <v>00007370</v>
          </cell>
          <cell r="B202" t="str">
            <v>冯晓黎</v>
          </cell>
          <cell r="C202">
            <v>1280</v>
          </cell>
          <cell r="D202">
            <v>10.63</v>
          </cell>
          <cell r="E202" t="str">
            <v>3202160601011286762</v>
          </cell>
        </row>
        <row r="203">
          <cell r="A203" t="str">
            <v>00030305</v>
          </cell>
          <cell r="B203" t="str">
            <v>吴 琳</v>
          </cell>
          <cell r="C203">
            <v>2200</v>
          </cell>
          <cell r="D203">
            <v>20.82</v>
          </cell>
          <cell r="E203" t="str">
            <v>6222023202043883767</v>
          </cell>
        </row>
        <row r="204">
          <cell r="A204" t="str">
            <v>00010871</v>
          </cell>
          <cell r="B204" t="str">
            <v>俞兆旺</v>
          </cell>
          <cell r="C204">
            <v>4500</v>
          </cell>
          <cell r="D204">
            <v>492.85000000000008</v>
          </cell>
          <cell r="E204" t="str">
            <v>3202160601010512561</v>
          </cell>
        </row>
        <row r="205">
          <cell r="A205" t="str">
            <v>00012181</v>
          </cell>
          <cell r="B205" t="str">
            <v>屈文谦</v>
          </cell>
          <cell r="C205">
            <v>5000</v>
          </cell>
          <cell r="D205">
            <v>471.08</v>
          </cell>
          <cell r="E205" t="str">
            <v>3202160601010422706</v>
          </cell>
        </row>
        <row r="206">
          <cell r="A206" t="str">
            <v>00011660</v>
          </cell>
          <cell r="B206" t="str">
            <v>李建雄</v>
          </cell>
          <cell r="C206">
            <v>4100</v>
          </cell>
          <cell r="D206">
            <v>347.19</v>
          </cell>
          <cell r="E206" t="str">
            <v>3202160601010422431</v>
          </cell>
        </row>
        <row r="207">
          <cell r="A207" t="str">
            <v>00012510</v>
          </cell>
          <cell r="B207" t="str">
            <v>周玉霞</v>
          </cell>
          <cell r="C207">
            <v>3950</v>
          </cell>
          <cell r="D207">
            <v>275.10000000000002</v>
          </cell>
          <cell r="E207" t="str">
            <v>3202160601011018451</v>
          </cell>
        </row>
        <row r="208">
          <cell r="A208" t="str">
            <v>00011662</v>
          </cell>
          <cell r="B208" t="str">
            <v>吴运卿</v>
          </cell>
          <cell r="C208">
            <v>7100</v>
          </cell>
          <cell r="D208">
            <v>898.63</v>
          </cell>
          <cell r="E208" t="str">
            <v>3202160601064391342</v>
          </cell>
        </row>
        <row r="209">
          <cell r="A209" t="str">
            <v>00011573</v>
          </cell>
          <cell r="B209" t="str">
            <v>黄忠华</v>
          </cell>
          <cell r="C209">
            <v>3000</v>
          </cell>
          <cell r="D209">
            <v>176.75</v>
          </cell>
          <cell r="E209" t="str">
            <v>3202160601010411747</v>
          </cell>
        </row>
        <row r="210">
          <cell r="A210" t="str">
            <v>00011453</v>
          </cell>
          <cell r="B210" t="str">
            <v>梅俊祥</v>
          </cell>
          <cell r="C210">
            <v>2650</v>
          </cell>
          <cell r="D210">
            <v>164.31</v>
          </cell>
          <cell r="E210" t="str">
            <v>3202160601010430010</v>
          </cell>
        </row>
        <row r="211">
          <cell r="A211" t="str">
            <v>00011203</v>
          </cell>
          <cell r="B211" t="str">
            <v>胡承胜</v>
          </cell>
          <cell r="C211">
            <v>2800</v>
          </cell>
          <cell r="D211">
            <v>156.99</v>
          </cell>
          <cell r="E211" t="str">
            <v>3202160601010754638</v>
          </cell>
        </row>
        <row r="212">
          <cell r="A212" t="str">
            <v>00011452</v>
          </cell>
          <cell r="B212" t="str">
            <v>刘 峰</v>
          </cell>
          <cell r="C212">
            <v>3000</v>
          </cell>
          <cell r="D212">
            <v>174.55</v>
          </cell>
          <cell r="E212" t="str">
            <v>3202160601010430134</v>
          </cell>
        </row>
        <row r="213">
          <cell r="A213" t="str">
            <v>00011528</v>
          </cell>
          <cell r="B213" t="str">
            <v>任春秀</v>
          </cell>
          <cell r="C213">
            <v>4930</v>
          </cell>
          <cell r="D213">
            <v>322.38</v>
          </cell>
          <cell r="E213" t="str">
            <v>3202160601010616507</v>
          </cell>
        </row>
        <row r="214">
          <cell r="A214" t="str">
            <v>00011451</v>
          </cell>
          <cell r="B214" t="str">
            <v>熊 英</v>
          </cell>
          <cell r="C214">
            <v>2030</v>
          </cell>
          <cell r="D214">
            <v>43.51</v>
          </cell>
          <cell r="E214" t="str">
            <v>3202160601010326375</v>
          </cell>
        </row>
        <row r="215">
          <cell r="A215" t="str">
            <v>00011666</v>
          </cell>
          <cell r="B215" t="str">
            <v>龙元英</v>
          </cell>
          <cell r="C215">
            <v>4780</v>
          </cell>
          <cell r="D215">
            <v>324.33999999999997</v>
          </cell>
          <cell r="E215" t="str">
            <v>3202160601010643244</v>
          </cell>
        </row>
        <row r="216">
          <cell r="A216" t="str">
            <v>00011661</v>
          </cell>
          <cell r="B216" t="str">
            <v>蔡映红</v>
          </cell>
          <cell r="C216">
            <v>2030</v>
          </cell>
          <cell r="D216">
            <v>44.93</v>
          </cell>
          <cell r="E216" t="str">
            <v>3202160601010422954</v>
          </cell>
        </row>
        <row r="217">
          <cell r="A217" t="str">
            <v>00011513</v>
          </cell>
          <cell r="B217" t="str">
            <v>吴云芳</v>
          </cell>
          <cell r="C217">
            <v>2480</v>
          </cell>
          <cell r="D217">
            <v>67.34</v>
          </cell>
          <cell r="E217" t="str">
            <v>3202160601010649578</v>
          </cell>
        </row>
        <row r="218">
          <cell r="A218" t="str">
            <v>00011884</v>
          </cell>
          <cell r="B218" t="str">
            <v>林 涛</v>
          </cell>
          <cell r="C218">
            <v>2480</v>
          </cell>
          <cell r="D218">
            <v>61.13</v>
          </cell>
          <cell r="E218" t="str">
            <v>6222083202005806084</v>
          </cell>
        </row>
        <row r="219">
          <cell r="A219" t="str">
            <v>00011670</v>
          </cell>
          <cell r="B219" t="str">
            <v>王 放</v>
          </cell>
          <cell r="C219">
            <v>2630</v>
          </cell>
          <cell r="D219">
            <v>98.08</v>
          </cell>
          <cell r="E219" t="str">
            <v>3202160601010442367</v>
          </cell>
        </row>
        <row r="220">
          <cell r="A220" t="str">
            <v>00011566</v>
          </cell>
          <cell r="B220" t="str">
            <v>贾 嘉</v>
          </cell>
          <cell r="C220">
            <v>1930</v>
          </cell>
          <cell r="D220">
            <v>38.43</v>
          </cell>
          <cell r="E220" t="str">
            <v>3202160601010381727</v>
          </cell>
        </row>
        <row r="221">
          <cell r="A221" t="str">
            <v>00008088</v>
          </cell>
          <cell r="B221" t="str">
            <v>李 坤</v>
          </cell>
          <cell r="C221">
            <v>1700</v>
          </cell>
          <cell r="D221">
            <v>12.56</v>
          </cell>
          <cell r="E221" t="str">
            <v>3202160601062244352</v>
          </cell>
        </row>
        <row r="222">
          <cell r="A222" t="str">
            <v>00008996</v>
          </cell>
          <cell r="B222" t="str">
            <v>徐国章</v>
          </cell>
          <cell r="C222">
            <v>2250</v>
          </cell>
          <cell r="D222">
            <v>28.92</v>
          </cell>
          <cell r="E222" t="str">
            <v>3202160601063842635</v>
          </cell>
        </row>
        <row r="223">
          <cell r="A223" t="str">
            <v>00009334</v>
          </cell>
          <cell r="B223" t="str">
            <v>左志香</v>
          </cell>
          <cell r="C223">
            <v>1800</v>
          </cell>
          <cell r="D223">
            <v>15.19</v>
          </cell>
          <cell r="E223" t="str">
            <v>6222083202001779939</v>
          </cell>
        </row>
        <row r="224">
          <cell r="A224" t="str">
            <v>00009460</v>
          </cell>
          <cell r="B224" t="str">
            <v>韩春玲</v>
          </cell>
          <cell r="C224">
            <v>1700</v>
          </cell>
          <cell r="D224">
            <v>7.02</v>
          </cell>
          <cell r="E224" t="str">
            <v>3202160601064510067</v>
          </cell>
        </row>
        <row r="225">
          <cell r="A225" t="str">
            <v>00009683</v>
          </cell>
          <cell r="B225" t="str">
            <v>韩 琦</v>
          </cell>
          <cell r="C225">
            <v>1800</v>
          </cell>
          <cell r="D225">
            <v>14.2</v>
          </cell>
          <cell r="E225" t="str">
            <v>6222023202030818149</v>
          </cell>
        </row>
        <row r="226">
          <cell r="A226" t="str">
            <v>00009969</v>
          </cell>
          <cell r="B226" t="str">
            <v>刘 祎</v>
          </cell>
          <cell r="C226">
            <v>1800</v>
          </cell>
          <cell r="D226">
            <v>14.41</v>
          </cell>
          <cell r="E226" t="str">
            <v>6222023202031219834</v>
          </cell>
        </row>
        <row r="227">
          <cell r="A227" t="str">
            <v>00030264</v>
          </cell>
          <cell r="B227" t="str">
            <v>向 昭</v>
          </cell>
          <cell r="C227">
            <v>1800</v>
          </cell>
          <cell r="D227">
            <v>13.75</v>
          </cell>
          <cell r="E227" t="str">
            <v>6222023202020823687</v>
          </cell>
        </row>
        <row r="228">
          <cell r="A228" t="str">
            <v>00030306</v>
          </cell>
          <cell r="B228" t="str">
            <v>李 丹</v>
          </cell>
          <cell r="C228">
            <v>1700</v>
          </cell>
          <cell r="D228">
            <v>6.92</v>
          </cell>
          <cell r="E228" t="str">
            <v>6222023202047636005</v>
          </cell>
        </row>
        <row r="229">
          <cell r="A229" t="str">
            <v>00030310</v>
          </cell>
          <cell r="B229" t="str">
            <v>刘嘉梅</v>
          </cell>
          <cell r="C229">
            <v>1700</v>
          </cell>
          <cell r="D229">
            <v>4.75</v>
          </cell>
          <cell r="E229" t="str">
            <v>6222083202005806993</v>
          </cell>
        </row>
        <row r="230">
          <cell r="A230" t="str">
            <v>00009705</v>
          </cell>
          <cell r="B230" t="str">
            <v>张慧芸</v>
          </cell>
          <cell r="C230">
            <v>1700</v>
          </cell>
          <cell r="D230">
            <v>5.8</v>
          </cell>
          <cell r="E230" t="str">
            <v>6222023202021297634</v>
          </cell>
        </row>
        <row r="231">
          <cell r="A231" t="str">
            <v>00011209</v>
          </cell>
          <cell r="B231" t="str">
            <v>孔祥元</v>
          </cell>
          <cell r="C231">
            <v>2100</v>
          </cell>
          <cell r="D231">
            <v>96.36</v>
          </cell>
          <cell r="E231" t="str">
            <v>3202160601010421254</v>
          </cell>
        </row>
        <row r="232">
          <cell r="A232" t="str">
            <v>00011205</v>
          </cell>
          <cell r="B232" t="str">
            <v>徐占国</v>
          </cell>
          <cell r="C232">
            <v>1950</v>
          </cell>
          <cell r="D232">
            <v>54.09</v>
          </cell>
          <cell r="E232" t="str">
            <v>3202160601010420875</v>
          </cell>
        </row>
        <row r="233">
          <cell r="A233" t="str">
            <v>00011207</v>
          </cell>
          <cell r="B233" t="str">
            <v>关良宝</v>
          </cell>
          <cell r="C233">
            <v>2100</v>
          </cell>
          <cell r="D233">
            <v>96.36</v>
          </cell>
          <cell r="E233" t="str">
            <v>3202160601010421378</v>
          </cell>
        </row>
        <row r="234">
          <cell r="A234" t="str">
            <v>00011202</v>
          </cell>
          <cell r="B234" t="str">
            <v>舒卫萍</v>
          </cell>
          <cell r="C234">
            <v>1430</v>
          </cell>
          <cell r="D234">
            <v>19.579999999999998</v>
          </cell>
          <cell r="E234" t="str">
            <v>3202160601010617657</v>
          </cell>
        </row>
        <row r="235">
          <cell r="A235" t="str">
            <v>00011186</v>
          </cell>
          <cell r="B235" t="str">
            <v>陆 丹</v>
          </cell>
          <cell r="C235">
            <v>1430</v>
          </cell>
          <cell r="D235">
            <v>21.5</v>
          </cell>
          <cell r="E235" t="str">
            <v>3202160601010348390</v>
          </cell>
        </row>
        <row r="236">
          <cell r="A236" t="str">
            <v>00009650</v>
          </cell>
          <cell r="B236" t="str">
            <v>卫晓婧</v>
          </cell>
          <cell r="C236">
            <v>1200</v>
          </cell>
          <cell r="D236">
            <v>0</v>
          </cell>
          <cell r="E236" t="str">
            <v>3202160601064534684</v>
          </cell>
        </row>
        <row r="237">
          <cell r="A237" t="str">
            <v>00009671</v>
          </cell>
          <cell r="B237" t="str">
            <v>刘小然</v>
          </cell>
          <cell r="C237">
            <v>1280</v>
          </cell>
          <cell r="D237">
            <v>1.1399999999999999</v>
          </cell>
          <cell r="E237" t="str">
            <v>6222023202023264681</v>
          </cell>
        </row>
      </sheetData>
      <sheetData sheetId="2" refreshError="1"/>
      <sheetData sheetId="3" refreshError="1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gzxx"/>
    </sheetNames>
    <sheetDataSet>
      <sheetData sheetId="0" refreshError="1">
        <row r="5">
          <cell r="D5" t="str">
            <v>00007282</v>
          </cell>
          <cell r="E5" t="str">
            <v>谢 华</v>
          </cell>
          <cell r="F5">
            <v>930</v>
          </cell>
          <cell r="G5">
            <v>417</v>
          </cell>
          <cell r="H5">
            <v>2376</v>
          </cell>
          <cell r="I5">
            <v>56</v>
          </cell>
          <cell r="J5">
            <v>0</v>
          </cell>
          <cell r="K5">
            <v>0</v>
          </cell>
          <cell r="L5">
            <v>33.68</v>
          </cell>
          <cell r="M5">
            <v>0</v>
          </cell>
          <cell r="N5">
            <v>0</v>
          </cell>
          <cell r="O5">
            <v>0</v>
          </cell>
          <cell r="P5">
            <v>5</v>
          </cell>
          <cell r="Q5">
            <v>0</v>
          </cell>
          <cell r="R5">
            <v>0</v>
          </cell>
          <cell r="S5">
            <v>0</v>
          </cell>
          <cell r="T5">
            <v>3817.68</v>
          </cell>
          <cell r="U5">
            <v>36</v>
          </cell>
          <cell r="V5">
            <v>0</v>
          </cell>
          <cell r="W5">
            <v>45.22</v>
          </cell>
          <cell r="X5">
            <v>13.47</v>
          </cell>
          <cell r="Y5">
            <v>0</v>
          </cell>
          <cell r="Z5">
            <v>4.6500000000000004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747</v>
          </cell>
          <cell r="AF5">
            <v>0</v>
          </cell>
          <cell r="AG5">
            <v>0</v>
          </cell>
          <cell r="AH5">
            <v>846.34</v>
          </cell>
          <cell r="AI5">
            <v>2972.31</v>
          </cell>
          <cell r="AJ5">
            <v>0.97</v>
          </cell>
          <cell r="AK5">
            <v>0.31</v>
          </cell>
          <cell r="AL5">
            <v>2972</v>
          </cell>
        </row>
        <row r="6">
          <cell r="D6" t="str">
            <v>00007283</v>
          </cell>
          <cell r="E6" t="str">
            <v>曾玉红</v>
          </cell>
          <cell r="F6">
            <v>930</v>
          </cell>
          <cell r="G6">
            <v>417</v>
          </cell>
          <cell r="H6">
            <v>2376</v>
          </cell>
          <cell r="I6">
            <v>56</v>
          </cell>
          <cell r="J6">
            <v>20</v>
          </cell>
          <cell r="K6">
            <v>0</v>
          </cell>
          <cell r="L6">
            <v>33.68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3832.68</v>
          </cell>
          <cell r="U6">
            <v>0</v>
          </cell>
          <cell r="V6">
            <v>248.9</v>
          </cell>
          <cell r="W6">
            <v>110.07</v>
          </cell>
          <cell r="X6">
            <v>13.47</v>
          </cell>
          <cell r="Y6">
            <v>0</v>
          </cell>
          <cell r="Z6">
            <v>4.6500000000000004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747</v>
          </cell>
          <cell r="AF6">
            <v>0</v>
          </cell>
          <cell r="AG6">
            <v>0</v>
          </cell>
          <cell r="AH6">
            <v>1124.0899999999999</v>
          </cell>
          <cell r="AI6">
            <v>2709.42</v>
          </cell>
          <cell r="AJ6">
            <v>0.83</v>
          </cell>
          <cell r="AK6">
            <v>0.42</v>
          </cell>
          <cell r="AL6">
            <v>2709</v>
          </cell>
        </row>
        <row r="7">
          <cell r="D7" t="str">
            <v>00007370</v>
          </cell>
          <cell r="E7" t="str">
            <v>冯晓黎</v>
          </cell>
          <cell r="F7">
            <v>680</v>
          </cell>
          <cell r="G7">
            <v>391</v>
          </cell>
          <cell r="H7">
            <v>2065</v>
          </cell>
          <cell r="I7">
            <v>56</v>
          </cell>
          <cell r="J7">
            <v>20</v>
          </cell>
          <cell r="K7">
            <v>0</v>
          </cell>
          <cell r="L7">
            <v>26.78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Q7">
            <v>0</v>
          </cell>
          <cell r="R7">
            <v>0</v>
          </cell>
          <cell r="S7">
            <v>0</v>
          </cell>
          <cell r="T7">
            <v>3243.78</v>
          </cell>
          <cell r="U7">
            <v>0</v>
          </cell>
          <cell r="V7">
            <v>0</v>
          </cell>
          <cell r="W7">
            <v>0</v>
          </cell>
          <cell r="X7">
            <v>10.71</v>
          </cell>
          <cell r="Y7">
            <v>0</v>
          </cell>
          <cell r="Z7">
            <v>3.4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627</v>
          </cell>
          <cell r="AF7">
            <v>0</v>
          </cell>
          <cell r="AG7">
            <v>0</v>
          </cell>
          <cell r="AH7">
            <v>641.11</v>
          </cell>
          <cell r="AI7">
            <v>2603.4</v>
          </cell>
          <cell r="AJ7">
            <v>0.73</v>
          </cell>
          <cell r="AK7">
            <v>0.4</v>
          </cell>
          <cell r="AL7">
            <v>2603</v>
          </cell>
        </row>
        <row r="8">
          <cell r="D8" t="str">
            <v>00007375</v>
          </cell>
          <cell r="E8" t="str">
            <v>李曰辰</v>
          </cell>
          <cell r="F8">
            <v>730</v>
          </cell>
          <cell r="G8">
            <v>527</v>
          </cell>
          <cell r="H8">
            <v>2102</v>
          </cell>
          <cell r="I8">
            <v>56</v>
          </cell>
          <cell r="J8">
            <v>0</v>
          </cell>
          <cell r="K8">
            <v>0</v>
          </cell>
          <cell r="L8">
            <v>31.43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3446.43</v>
          </cell>
          <cell r="U8">
            <v>0</v>
          </cell>
          <cell r="V8">
            <v>1022.2</v>
          </cell>
          <cell r="W8">
            <v>179.09</v>
          </cell>
          <cell r="X8">
            <v>12.57</v>
          </cell>
          <cell r="Y8">
            <v>0</v>
          </cell>
          <cell r="Z8">
            <v>3.65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679</v>
          </cell>
          <cell r="AF8">
            <v>0</v>
          </cell>
          <cell r="AG8">
            <v>0</v>
          </cell>
          <cell r="AH8">
            <v>1896.51</v>
          </cell>
          <cell r="AI8">
            <v>1550.02</v>
          </cell>
          <cell r="AJ8">
            <v>0.1</v>
          </cell>
          <cell r="AK8">
            <v>0.02</v>
          </cell>
          <cell r="AL8">
            <v>1550</v>
          </cell>
        </row>
        <row r="9">
          <cell r="D9" t="str">
            <v>00007483</v>
          </cell>
          <cell r="E9" t="str">
            <v>王 康</v>
          </cell>
          <cell r="F9">
            <v>1420</v>
          </cell>
          <cell r="G9">
            <v>583</v>
          </cell>
          <cell r="H9">
            <v>2779</v>
          </cell>
          <cell r="I9">
            <v>56</v>
          </cell>
          <cell r="J9">
            <v>0</v>
          </cell>
          <cell r="K9">
            <v>0</v>
          </cell>
          <cell r="L9">
            <v>50.08</v>
          </cell>
          <cell r="M9">
            <v>0</v>
          </cell>
          <cell r="N9">
            <v>0</v>
          </cell>
          <cell r="O9">
            <v>0</v>
          </cell>
          <cell r="P9">
            <v>5</v>
          </cell>
          <cell r="Q9">
            <v>0</v>
          </cell>
          <cell r="R9">
            <v>0</v>
          </cell>
          <cell r="S9">
            <v>0</v>
          </cell>
          <cell r="T9">
            <v>4893.08</v>
          </cell>
          <cell r="U9">
            <v>340</v>
          </cell>
          <cell r="V9">
            <v>0</v>
          </cell>
          <cell r="W9">
            <v>11.3</v>
          </cell>
          <cell r="X9">
            <v>20.03</v>
          </cell>
          <cell r="Y9">
            <v>10.38</v>
          </cell>
          <cell r="Z9">
            <v>7.1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972</v>
          </cell>
          <cell r="AF9">
            <v>0</v>
          </cell>
          <cell r="AG9">
            <v>0</v>
          </cell>
          <cell r="AH9">
            <v>1360.81</v>
          </cell>
          <cell r="AI9">
            <v>3533</v>
          </cell>
          <cell r="AJ9">
            <v>0.73</v>
          </cell>
          <cell r="AK9">
            <v>0</v>
          </cell>
          <cell r="AL9">
            <v>3533</v>
          </cell>
        </row>
        <row r="10">
          <cell r="D10" t="str">
            <v>00007525</v>
          </cell>
          <cell r="E10" t="str">
            <v>邓金运</v>
          </cell>
          <cell r="F10">
            <v>930</v>
          </cell>
          <cell r="G10">
            <v>443</v>
          </cell>
          <cell r="H10">
            <v>2376</v>
          </cell>
          <cell r="I10">
            <v>56</v>
          </cell>
          <cell r="J10">
            <v>0</v>
          </cell>
          <cell r="K10">
            <v>0</v>
          </cell>
          <cell r="L10">
            <v>34.33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Q10">
            <v>0</v>
          </cell>
          <cell r="R10">
            <v>0</v>
          </cell>
          <cell r="S10">
            <v>0</v>
          </cell>
          <cell r="T10">
            <v>3844.33</v>
          </cell>
          <cell r="U10">
            <v>240</v>
          </cell>
          <cell r="V10">
            <v>0</v>
          </cell>
          <cell r="W10">
            <v>0</v>
          </cell>
          <cell r="X10">
            <v>13.73</v>
          </cell>
          <cell r="Y10">
            <v>0</v>
          </cell>
          <cell r="Z10">
            <v>4.6500000000000004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754</v>
          </cell>
          <cell r="AF10">
            <v>0</v>
          </cell>
          <cell r="AG10">
            <v>0</v>
          </cell>
          <cell r="AH10">
            <v>1012.38</v>
          </cell>
          <cell r="AI10">
            <v>2832.04</v>
          </cell>
          <cell r="AJ10">
            <v>0.09</v>
          </cell>
          <cell r="AK10">
            <v>0.04</v>
          </cell>
          <cell r="AL10">
            <v>2832</v>
          </cell>
        </row>
        <row r="11">
          <cell r="D11" t="str">
            <v>00007612</v>
          </cell>
          <cell r="E11" t="str">
            <v>张晓春</v>
          </cell>
          <cell r="F11">
            <v>680</v>
          </cell>
          <cell r="G11">
            <v>341</v>
          </cell>
          <cell r="H11">
            <v>2065</v>
          </cell>
          <cell r="I11">
            <v>56</v>
          </cell>
          <cell r="J11">
            <v>20</v>
          </cell>
          <cell r="K11">
            <v>0</v>
          </cell>
          <cell r="L11">
            <v>25.53</v>
          </cell>
          <cell r="M11">
            <v>0</v>
          </cell>
          <cell r="N11">
            <v>0</v>
          </cell>
          <cell r="O11">
            <v>0</v>
          </cell>
          <cell r="P11">
            <v>5</v>
          </cell>
          <cell r="Q11">
            <v>0</v>
          </cell>
          <cell r="R11">
            <v>0</v>
          </cell>
          <cell r="S11">
            <v>0</v>
          </cell>
          <cell r="T11">
            <v>3192.53</v>
          </cell>
          <cell r="U11">
            <v>46</v>
          </cell>
          <cell r="V11">
            <v>0</v>
          </cell>
          <cell r="W11">
            <v>279.64999999999998</v>
          </cell>
          <cell r="X11">
            <v>10.210000000000001</v>
          </cell>
          <cell r="Y11">
            <v>0</v>
          </cell>
          <cell r="Z11">
            <v>3.4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614</v>
          </cell>
          <cell r="AF11">
            <v>0</v>
          </cell>
          <cell r="AG11">
            <v>0</v>
          </cell>
          <cell r="AH11">
            <v>953.26</v>
          </cell>
          <cell r="AI11">
            <v>2240.15</v>
          </cell>
          <cell r="AJ11">
            <v>0.88</v>
          </cell>
          <cell r="AK11">
            <v>0.15</v>
          </cell>
          <cell r="AL11">
            <v>2240</v>
          </cell>
        </row>
        <row r="12">
          <cell r="D12" t="str">
            <v>00007681</v>
          </cell>
          <cell r="E12" t="str">
            <v>刘 全</v>
          </cell>
          <cell r="F12">
            <v>930</v>
          </cell>
          <cell r="G12">
            <v>391</v>
          </cell>
          <cell r="H12">
            <v>2376</v>
          </cell>
          <cell r="I12">
            <v>56</v>
          </cell>
          <cell r="J12">
            <v>0</v>
          </cell>
          <cell r="K12">
            <v>0</v>
          </cell>
          <cell r="L12">
            <v>33.03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3786.03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3786.03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3786.03</v>
          </cell>
          <cell r="AI12">
            <v>0.25</v>
          </cell>
          <cell r="AJ12">
            <v>0.25</v>
          </cell>
          <cell r="AK12">
            <v>0.25</v>
          </cell>
          <cell r="AL12">
            <v>0</v>
          </cell>
        </row>
        <row r="13">
          <cell r="D13" t="str">
            <v>00007720</v>
          </cell>
          <cell r="E13" t="str">
            <v>杨中华</v>
          </cell>
          <cell r="F13">
            <v>930</v>
          </cell>
          <cell r="G13">
            <v>417</v>
          </cell>
          <cell r="H13">
            <v>2376</v>
          </cell>
          <cell r="I13">
            <v>56</v>
          </cell>
          <cell r="J13">
            <v>0</v>
          </cell>
          <cell r="K13">
            <v>0</v>
          </cell>
          <cell r="L13">
            <v>33.68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3812.68</v>
          </cell>
          <cell r="U13">
            <v>0</v>
          </cell>
          <cell r="V13">
            <v>0</v>
          </cell>
          <cell r="W13">
            <v>179.69</v>
          </cell>
          <cell r="X13">
            <v>13.47</v>
          </cell>
          <cell r="Y13">
            <v>0</v>
          </cell>
          <cell r="Z13">
            <v>4.6500000000000004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747</v>
          </cell>
          <cell r="AF13">
            <v>0</v>
          </cell>
          <cell r="AG13">
            <v>0</v>
          </cell>
          <cell r="AH13">
            <v>944.81</v>
          </cell>
          <cell r="AI13">
            <v>2867.97</v>
          </cell>
          <cell r="AJ13">
            <v>0.1</v>
          </cell>
          <cell r="AK13">
            <v>0.97</v>
          </cell>
          <cell r="AL13">
            <v>2867</v>
          </cell>
        </row>
        <row r="14">
          <cell r="D14" t="str">
            <v>00007774</v>
          </cell>
          <cell r="E14" t="str">
            <v>钱忠东</v>
          </cell>
          <cell r="F14">
            <v>1420</v>
          </cell>
          <cell r="G14">
            <v>613</v>
          </cell>
          <cell r="H14">
            <v>2779</v>
          </cell>
          <cell r="I14">
            <v>56</v>
          </cell>
          <cell r="J14">
            <v>0</v>
          </cell>
          <cell r="K14">
            <v>0</v>
          </cell>
          <cell r="L14">
            <v>50.83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Q14">
            <v>0</v>
          </cell>
          <cell r="R14">
            <v>0</v>
          </cell>
          <cell r="S14">
            <v>0</v>
          </cell>
          <cell r="T14">
            <v>4923.83</v>
          </cell>
          <cell r="U14">
            <v>0</v>
          </cell>
          <cell r="V14">
            <v>0</v>
          </cell>
          <cell r="W14">
            <v>0</v>
          </cell>
          <cell r="X14">
            <v>20.329999999999998</v>
          </cell>
          <cell r="Y14">
            <v>11.03</v>
          </cell>
          <cell r="Z14">
            <v>7.1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980</v>
          </cell>
          <cell r="AF14">
            <v>0</v>
          </cell>
          <cell r="AG14">
            <v>0</v>
          </cell>
          <cell r="AH14">
            <v>1018.46</v>
          </cell>
          <cell r="AI14">
            <v>3906.22</v>
          </cell>
          <cell r="AJ14">
            <v>0.85</v>
          </cell>
          <cell r="AK14">
            <v>0.22</v>
          </cell>
          <cell r="AL14">
            <v>3906</v>
          </cell>
        </row>
        <row r="15">
          <cell r="D15" t="str">
            <v>00007776</v>
          </cell>
          <cell r="E15" t="str">
            <v>曹志先</v>
          </cell>
          <cell r="F15">
            <v>1900</v>
          </cell>
          <cell r="G15">
            <v>1154</v>
          </cell>
          <cell r="H15">
            <v>3108</v>
          </cell>
          <cell r="I15">
            <v>56</v>
          </cell>
          <cell r="J15">
            <v>0</v>
          </cell>
          <cell r="K15">
            <v>0</v>
          </cell>
          <cell r="L15">
            <v>76.349999999999994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6294.35</v>
          </cell>
          <cell r="U15">
            <v>0</v>
          </cell>
          <cell r="V15">
            <v>0</v>
          </cell>
          <cell r="W15">
            <v>0</v>
          </cell>
          <cell r="X15">
            <v>30.54</v>
          </cell>
          <cell r="Y15">
            <v>41.74</v>
          </cell>
          <cell r="Z15">
            <v>9.5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1296</v>
          </cell>
          <cell r="AF15">
            <v>0</v>
          </cell>
          <cell r="AG15">
            <v>0</v>
          </cell>
          <cell r="AH15">
            <v>1377.78</v>
          </cell>
          <cell r="AI15">
            <v>4916.8</v>
          </cell>
          <cell r="AJ15">
            <v>0.23</v>
          </cell>
          <cell r="AK15">
            <v>0.8</v>
          </cell>
          <cell r="AL15">
            <v>4916</v>
          </cell>
        </row>
        <row r="16">
          <cell r="D16" t="str">
            <v>00007813</v>
          </cell>
          <cell r="E16" t="str">
            <v>陈益峰</v>
          </cell>
          <cell r="F16">
            <v>1420</v>
          </cell>
          <cell r="G16">
            <v>613</v>
          </cell>
          <cell r="H16">
            <v>2779</v>
          </cell>
          <cell r="I16">
            <v>56</v>
          </cell>
          <cell r="J16">
            <v>0</v>
          </cell>
          <cell r="K16">
            <v>0</v>
          </cell>
          <cell r="L16">
            <v>50.83</v>
          </cell>
          <cell r="M16">
            <v>0</v>
          </cell>
          <cell r="N16">
            <v>0</v>
          </cell>
          <cell r="O16">
            <v>0</v>
          </cell>
          <cell r="P16">
            <v>5</v>
          </cell>
          <cell r="Q16">
            <v>0</v>
          </cell>
          <cell r="R16">
            <v>0</v>
          </cell>
          <cell r="S16">
            <v>0</v>
          </cell>
          <cell r="T16">
            <v>4923.83</v>
          </cell>
          <cell r="U16">
            <v>0</v>
          </cell>
          <cell r="V16">
            <v>0</v>
          </cell>
          <cell r="W16">
            <v>0</v>
          </cell>
          <cell r="X16">
            <v>20.329999999999998</v>
          </cell>
          <cell r="Y16">
            <v>11.03</v>
          </cell>
          <cell r="Z16">
            <v>7.1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980</v>
          </cell>
          <cell r="AF16">
            <v>0</v>
          </cell>
          <cell r="AG16">
            <v>0</v>
          </cell>
          <cell r="AH16">
            <v>1018.46</v>
          </cell>
          <cell r="AI16">
            <v>3906.15</v>
          </cell>
          <cell r="AJ16">
            <v>0.78</v>
          </cell>
          <cell r="AK16">
            <v>0.15</v>
          </cell>
          <cell r="AL16">
            <v>3906</v>
          </cell>
        </row>
        <row r="17">
          <cell r="D17" t="str">
            <v>00007815</v>
          </cell>
          <cell r="E17" t="str">
            <v>曹生荣</v>
          </cell>
          <cell r="F17">
            <v>930</v>
          </cell>
          <cell r="G17">
            <v>417</v>
          </cell>
          <cell r="H17">
            <v>2376</v>
          </cell>
          <cell r="I17">
            <v>56</v>
          </cell>
          <cell r="J17">
            <v>0</v>
          </cell>
          <cell r="K17">
            <v>0</v>
          </cell>
          <cell r="L17">
            <v>33.68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3812.68</v>
          </cell>
          <cell r="U17">
            <v>0</v>
          </cell>
          <cell r="V17">
            <v>0</v>
          </cell>
          <cell r="W17">
            <v>0</v>
          </cell>
          <cell r="X17">
            <v>13.47</v>
          </cell>
          <cell r="Y17">
            <v>0</v>
          </cell>
          <cell r="Z17">
            <v>4.6500000000000004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747</v>
          </cell>
          <cell r="AF17">
            <v>0</v>
          </cell>
          <cell r="AG17">
            <v>0</v>
          </cell>
          <cell r="AH17">
            <v>765.12</v>
          </cell>
          <cell r="AI17">
            <v>3047.68</v>
          </cell>
          <cell r="AJ17">
            <v>0.12</v>
          </cell>
          <cell r="AK17">
            <v>0.68</v>
          </cell>
          <cell r="AL17">
            <v>3047</v>
          </cell>
        </row>
        <row r="18">
          <cell r="D18" t="str">
            <v>00007816</v>
          </cell>
          <cell r="E18" t="str">
            <v>周 伟</v>
          </cell>
          <cell r="F18">
            <v>1420</v>
          </cell>
          <cell r="G18">
            <v>613</v>
          </cell>
          <cell r="H18">
            <v>2779</v>
          </cell>
          <cell r="I18">
            <v>56</v>
          </cell>
          <cell r="J18">
            <v>0</v>
          </cell>
          <cell r="K18">
            <v>0</v>
          </cell>
          <cell r="L18">
            <v>50.83</v>
          </cell>
          <cell r="M18">
            <v>0</v>
          </cell>
          <cell r="N18">
            <v>0</v>
          </cell>
          <cell r="O18">
            <v>0</v>
          </cell>
          <cell r="P18">
            <v>5</v>
          </cell>
          <cell r="Q18">
            <v>0</v>
          </cell>
          <cell r="R18">
            <v>0</v>
          </cell>
          <cell r="S18">
            <v>0</v>
          </cell>
          <cell r="T18">
            <v>4923.83</v>
          </cell>
          <cell r="U18">
            <v>240</v>
          </cell>
          <cell r="V18">
            <v>0</v>
          </cell>
          <cell r="W18">
            <v>70.8</v>
          </cell>
          <cell r="X18">
            <v>20.329999999999998</v>
          </cell>
          <cell r="Y18">
            <v>11.03</v>
          </cell>
          <cell r="Z18">
            <v>7.1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980</v>
          </cell>
          <cell r="AF18">
            <v>0</v>
          </cell>
          <cell r="AG18">
            <v>0</v>
          </cell>
          <cell r="AH18">
            <v>1329.26</v>
          </cell>
          <cell r="AI18">
            <v>3594.98</v>
          </cell>
          <cell r="AJ18">
            <v>0.41</v>
          </cell>
          <cell r="AK18">
            <v>0.98</v>
          </cell>
          <cell r="AL18">
            <v>3594</v>
          </cell>
        </row>
        <row r="19">
          <cell r="D19" t="str">
            <v>00007817</v>
          </cell>
          <cell r="E19" t="str">
            <v>孙昭华</v>
          </cell>
          <cell r="F19">
            <v>930</v>
          </cell>
          <cell r="G19">
            <v>417</v>
          </cell>
          <cell r="H19">
            <v>2376</v>
          </cell>
          <cell r="I19">
            <v>56</v>
          </cell>
          <cell r="J19">
            <v>0</v>
          </cell>
          <cell r="K19">
            <v>0</v>
          </cell>
          <cell r="L19">
            <v>33.68</v>
          </cell>
          <cell r="M19">
            <v>0</v>
          </cell>
          <cell r="N19">
            <v>0</v>
          </cell>
          <cell r="O19">
            <v>0</v>
          </cell>
          <cell r="P19">
            <v>5</v>
          </cell>
          <cell r="Q19">
            <v>0</v>
          </cell>
          <cell r="R19">
            <v>0</v>
          </cell>
          <cell r="S19">
            <v>0</v>
          </cell>
          <cell r="T19">
            <v>3817.68</v>
          </cell>
          <cell r="U19">
            <v>0</v>
          </cell>
          <cell r="V19">
            <v>0</v>
          </cell>
          <cell r="W19">
            <v>0</v>
          </cell>
          <cell r="X19">
            <v>13.47</v>
          </cell>
          <cell r="Y19">
            <v>0</v>
          </cell>
          <cell r="Z19">
            <v>4.6500000000000004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747</v>
          </cell>
          <cell r="AF19">
            <v>0</v>
          </cell>
          <cell r="AG19">
            <v>0</v>
          </cell>
          <cell r="AH19">
            <v>765.12</v>
          </cell>
          <cell r="AI19">
            <v>3052.62</v>
          </cell>
          <cell r="AJ19">
            <v>0.06</v>
          </cell>
          <cell r="AK19">
            <v>0.62</v>
          </cell>
          <cell r="AL19">
            <v>3052</v>
          </cell>
        </row>
        <row r="20">
          <cell r="D20" t="str">
            <v>00007818</v>
          </cell>
          <cell r="E20" t="str">
            <v>李 奔</v>
          </cell>
          <cell r="F20">
            <v>680</v>
          </cell>
          <cell r="G20">
            <v>341</v>
          </cell>
          <cell r="H20">
            <v>2065</v>
          </cell>
          <cell r="I20">
            <v>56</v>
          </cell>
          <cell r="J20">
            <v>0</v>
          </cell>
          <cell r="K20">
            <v>0</v>
          </cell>
          <cell r="L20">
            <v>25.53</v>
          </cell>
          <cell r="M20">
            <v>0</v>
          </cell>
          <cell r="N20">
            <v>0</v>
          </cell>
          <cell r="O20">
            <v>0</v>
          </cell>
          <cell r="P20">
            <v>5</v>
          </cell>
          <cell r="Q20">
            <v>0</v>
          </cell>
          <cell r="R20">
            <v>0</v>
          </cell>
          <cell r="S20">
            <v>0</v>
          </cell>
          <cell r="T20">
            <v>3172.53</v>
          </cell>
          <cell r="U20">
            <v>0</v>
          </cell>
          <cell r="V20">
            <v>114</v>
          </cell>
          <cell r="W20">
            <v>411.88</v>
          </cell>
          <cell r="X20">
            <v>10.210000000000001</v>
          </cell>
          <cell r="Y20">
            <v>0</v>
          </cell>
          <cell r="Z20">
            <v>3.4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614</v>
          </cell>
          <cell r="AF20">
            <v>0</v>
          </cell>
          <cell r="AG20">
            <v>0</v>
          </cell>
          <cell r="AH20">
            <v>1153.49</v>
          </cell>
          <cell r="AI20">
            <v>2019.99</v>
          </cell>
          <cell r="AJ20">
            <v>0.95</v>
          </cell>
          <cell r="AK20">
            <v>0.99</v>
          </cell>
          <cell r="AL20">
            <v>2019</v>
          </cell>
        </row>
        <row r="21">
          <cell r="D21" t="str">
            <v>00007907</v>
          </cell>
          <cell r="E21" t="str">
            <v>施玉群</v>
          </cell>
          <cell r="F21">
            <v>930</v>
          </cell>
          <cell r="G21">
            <v>767</v>
          </cell>
          <cell r="H21">
            <v>2376</v>
          </cell>
          <cell r="I21">
            <v>56</v>
          </cell>
          <cell r="J21">
            <v>20</v>
          </cell>
          <cell r="K21">
            <v>0</v>
          </cell>
          <cell r="L21">
            <v>42.43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4191.43</v>
          </cell>
          <cell r="U21">
            <v>0</v>
          </cell>
          <cell r="V21">
            <v>0</v>
          </cell>
          <cell r="W21">
            <v>0</v>
          </cell>
          <cell r="X21">
            <v>16.97</v>
          </cell>
          <cell r="Y21">
            <v>0</v>
          </cell>
          <cell r="Z21">
            <v>4.6500000000000004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835</v>
          </cell>
          <cell r="AF21">
            <v>0</v>
          </cell>
          <cell r="AG21">
            <v>0</v>
          </cell>
          <cell r="AH21">
            <v>856.62</v>
          </cell>
          <cell r="AI21">
            <v>3335.06</v>
          </cell>
          <cell r="AJ21">
            <v>0.25</v>
          </cell>
          <cell r="AK21">
            <v>0.06</v>
          </cell>
          <cell r="AL21">
            <v>3335</v>
          </cell>
        </row>
        <row r="22">
          <cell r="D22" t="str">
            <v>00008034</v>
          </cell>
          <cell r="E22" t="str">
            <v>刘 攀</v>
          </cell>
          <cell r="F22">
            <v>930</v>
          </cell>
          <cell r="G22">
            <v>417</v>
          </cell>
          <cell r="H22">
            <v>2376</v>
          </cell>
          <cell r="I22">
            <v>56</v>
          </cell>
          <cell r="J22">
            <v>0</v>
          </cell>
          <cell r="K22">
            <v>0</v>
          </cell>
          <cell r="L22">
            <v>33.68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Q22">
            <v>0</v>
          </cell>
          <cell r="R22">
            <v>0</v>
          </cell>
          <cell r="S22">
            <v>0</v>
          </cell>
          <cell r="T22">
            <v>3817.68</v>
          </cell>
          <cell r="U22">
            <v>580</v>
          </cell>
          <cell r="V22">
            <v>34.200000000000003</v>
          </cell>
          <cell r="W22">
            <v>51.77</v>
          </cell>
          <cell r="X22">
            <v>13.47</v>
          </cell>
          <cell r="Y22">
            <v>0</v>
          </cell>
          <cell r="Z22">
            <v>4.6500000000000004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747</v>
          </cell>
          <cell r="AF22">
            <v>0</v>
          </cell>
          <cell r="AG22">
            <v>0</v>
          </cell>
          <cell r="AH22">
            <v>1431.09</v>
          </cell>
          <cell r="AI22">
            <v>2387.11</v>
          </cell>
          <cell r="AJ22">
            <v>0.52</v>
          </cell>
          <cell r="AK22">
            <v>0.11</v>
          </cell>
          <cell r="AL22">
            <v>2387</v>
          </cell>
        </row>
        <row r="23">
          <cell r="D23" t="str">
            <v>00008035</v>
          </cell>
          <cell r="E23" t="str">
            <v>李小平</v>
          </cell>
          <cell r="F23">
            <v>730</v>
          </cell>
          <cell r="G23">
            <v>417</v>
          </cell>
          <cell r="H23">
            <v>2102</v>
          </cell>
          <cell r="I23">
            <v>56</v>
          </cell>
          <cell r="J23">
            <v>0</v>
          </cell>
          <cell r="K23">
            <v>0</v>
          </cell>
          <cell r="L23">
            <v>28.68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3333.68</v>
          </cell>
          <cell r="U23">
            <v>0</v>
          </cell>
          <cell r="V23">
            <v>0</v>
          </cell>
          <cell r="W23">
            <v>0</v>
          </cell>
          <cell r="X23">
            <v>11.47</v>
          </cell>
          <cell r="Y23">
            <v>0</v>
          </cell>
          <cell r="Z23">
            <v>3.65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652</v>
          </cell>
          <cell r="AF23">
            <v>0</v>
          </cell>
          <cell r="AG23">
            <v>0</v>
          </cell>
          <cell r="AH23">
            <v>667.12</v>
          </cell>
          <cell r="AI23">
            <v>2666.8</v>
          </cell>
          <cell r="AJ23">
            <v>0.24</v>
          </cell>
          <cell r="AK23">
            <v>0.8</v>
          </cell>
          <cell r="AL23">
            <v>2666</v>
          </cell>
        </row>
        <row r="24">
          <cell r="D24" t="str">
            <v>00008036</v>
          </cell>
          <cell r="E24" t="str">
            <v>金银龙</v>
          </cell>
          <cell r="F24">
            <v>680</v>
          </cell>
          <cell r="G24">
            <v>341</v>
          </cell>
          <cell r="H24">
            <v>2065</v>
          </cell>
          <cell r="I24">
            <v>56</v>
          </cell>
          <cell r="J24">
            <v>0</v>
          </cell>
          <cell r="K24">
            <v>0</v>
          </cell>
          <cell r="L24">
            <v>25.53</v>
          </cell>
          <cell r="M24">
            <v>0</v>
          </cell>
          <cell r="N24">
            <v>0</v>
          </cell>
          <cell r="O24">
            <v>0</v>
          </cell>
          <cell r="P24">
            <v>5</v>
          </cell>
          <cell r="Q24">
            <v>0</v>
          </cell>
          <cell r="R24">
            <v>0</v>
          </cell>
          <cell r="S24">
            <v>0</v>
          </cell>
          <cell r="T24">
            <v>3172.53</v>
          </cell>
          <cell r="U24">
            <v>100</v>
          </cell>
          <cell r="V24">
            <v>114</v>
          </cell>
          <cell r="W24">
            <v>77.349999999999994</v>
          </cell>
          <cell r="X24">
            <v>10.210000000000001</v>
          </cell>
          <cell r="Y24">
            <v>0</v>
          </cell>
          <cell r="Z24">
            <v>3.4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614</v>
          </cell>
          <cell r="AF24">
            <v>0</v>
          </cell>
          <cell r="AG24">
            <v>0</v>
          </cell>
          <cell r="AH24">
            <v>918.96</v>
          </cell>
          <cell r="AI24">
            <v>2254.08</v>
          </cell>
          <cell r="AJ24">
            <v>0.51</v>
          </cell>
          <cell r="AK24">
            <v>0.08</v>
          </cell>
          <cell r="AL24">
            <v>2254</v>
          </cell>
        </row>
        <row r="25">
          <cell r="D25" t="str">
            <v>00008088</v>
          </cell>
          <cell r="E25" t="str">
            <v>李 坤</v>
          </cell>
          <cell r="F25">
            <v>590</v>
          </cell>
          <cell r="G25">
            <v>253</v>
          </cell>
          <cell r="H25">
            <v>1864</v>
          </cell>
          <cell r="I25">
            <v>56</v>
          </cell>
          <cell r="J25">
            <v>0</v>
          </cell>
          <cell r="K25">
            <v>0</v>
          </cell>
          <cell r="L25">
            <v>21.08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2784.08</v>
          </cell>
          <cell r="U25">
            <v>30</v>
          </cell>
          <cell r="V25">
            <v>114</v>
          </cell>
          <cell r="W25">
            <v>9.52</v>
          </cell>
          <cell r="X25">
            <v>8.43</v>
          </cell>
          <cell r="Y25">
            <v>0</v>
          </cell>
          <cell r="Z25">
            <v>2.95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536</v>
          </cell>
          <cell r="AF25">
            <v>0</v>
          </cell>
          <cell r="AG25">
            <v>0</v>
          </cell>
          <cell r="AH25">
            <v>700.9</v>
          </cell>
          <cell r="AI25">
            <v>2084.16</v>
          </cell>
          <cell r="AJ25">
            <v>0.98</v>
          </cell>
          <cell r="AK25">
            <v>0.16</v>
          </cell>
          <cell r="AL25">
            <v>2084</v>
          </cell>
        </row>
        <row r="26">
          <cell r="D26" t="str">
            <v>00008094</v>
          </cell>
          <cell r="E26" t="str">
            <v>李典庆</v>
          </cell>
          <cell r="F26">
            <v>1630</v>
          </cell>
          <cell r="G26">
            <v>643</v>
          </cell>
          <cell r="H26">
            <v>2961</v>
          </cell>
          <cell r="I26">
            <v>56</v>
          </cell>
          <cell r="J26">
            <v>0</v>
          </cell>
          <cell r="K26">
            <v>0</v>
          </cell>
          <cell r="L26">
            <v>56.83</v>
          </cell>
          <cell r="M26">
            <v>0</v>
          </cell>
          <cell r="N26">
            <v>0</v>
          </cell>
          <cell r="O26">
            <v>0</v>
          </cell>
          <cell r="P26">
            <v>5</v>
          </cell>
          <cell r="Q26">
            <v>0</v>
          </cell>
          <cell r="R26">
            <v>0</v>
          </cell>
          <cell r="S26">
            <v>0</v>
          </cell>
          <cell r="T26">
            <v>5351.83</v>
          </cell>
          <cell r="U26">
            <v>0</v>
          </cell>
          <cell r="V26">
            <v>0</v>
          </cell>
          <cell r="W26">
            <v>0</v>
          </cell>
          <cell r="X26">
            <v>22.73</v>
          </cell>
          <cell r="Y26">
            <v>20.74</v>
          </cell>
          <cell r="Z26">
            <v>8.15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1076</v>
          </cell>
          <cell r="AF26">
            <v>0</v>
          </cell>
          <cell r="AG26">
            <v>0</v>
          </cell>
          <cell r="AH26">
            <v>1127.6199999999999</v>
          </cell>
          <cell r="AI26">
            <v>4224.9799999999996</v>
          </cell>
          <cell r="AJ26">
            <v>0.77</v>
          </cell>
          <cell r="AK26">
            <v>0.98</v>
          </cell>
          <cell r="AL26">
            <v>4224</v>
          </cell>
        </row>
        <row r="27">
          <cell r="D27" t="str">
            <v>00008288</v>
          </cell>
          <cell r="E27" t="str">
            <v>陈俊涛</v>
          </cell>
          <cell r="F27">
            <v>730</v>
          </cell>
          <cell r="G27">
            <v>417</v>
          </cell>
          <cell r="H27">
            <v>2102</v>
          </cell>
          <cell r="I27">
            <v>56</v>
          </cell>
          <cell r="J27">
            <v>0</v>
          </cell>
          <cell r="K27">
            <v>0</v>
          </cell>
          <cell r="L27">
            <v>28.68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3333.68</v>
          </cell>
          <cell r="U27">
            <v>0</v>
          </cell>
          <cell r="V27">
            <v>0</v>
          </cell>
          <cell r="W27">
            <v>0</v>
          </cell>
          <cell r="X27">
            <v>11.47</v>
          </cell>
          <cell r="Y27">
            <v>0</v>
          </cell>
          <cell r="Z27">
            <v>3.65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652</v>
          </cell>
          <cell r="AF27">
            <v>0</v>
          </cell>
          <cell r="AG27">
            <v>0</v>
          </cell>
          <cell r="AH27">
            <v>667.12</v>
          </cell>
          <cell r="AI27">
            <v>2666.8</v>
          </cell>
          <cell r="AJ27">
            <v>0.24</v>
          </cell>
          <cell r="AK27">
            <v>0.8</v>
          </cell>
          <cell r="AL27">
            <v>2666</v>
          </cell>
        </row>
        <row r="28">
          <cell r="D28" t="str">
            <v>00008413</v>
          </cell>
          <cell r="E28" t="str">
            <v>管光华</v>
          </cell>
          <cell r="F28">
            <v>930</v>
          </cell>
          <cell r="G28">
            <v>391</v>
          </cell>
          <cell r="H28">
            <v>2376</v>
          </cell>
          <cell r="I28">
            <v>56</v>
          </cell>
          <cell r="J28">
            <v>0</v>
          </cell>
          <cell r="K28">
            <v>0</v>
          </cell>
          <cell r="L28">
            <v>33.03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3786.03</v>
          </cell>
          <cell r="U28">
            <v>0</v>
          </cell>
          <cell r="V28">
            <v>0</v>
          </cell>
          <cell r="W28">
            <v>0</v>
          </cell>
          <cell r="X28">
            <v>13.21</v>
          </cell>
          <cell r="Y28">
            <v>0</v>
          </cell>
          <cell r="Z28">
            <v>4.6500000000000004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741</v>
          </cell>
          <cell r="AF28">
            <v>0</v>
          </cell>
          <cell r="AG28">
            <v>0</v>
          </cell>
          <cell r="AH28">
            <v>758.86</v>
          </cell>
          <cell r="AI28">
            <v>3027.47</v>
          </cell>
          <cell r="AJ28">
            <v>0.3</v>
          </cell>
          <cell r="AK28">
            <v>0.47</v>
          </cell>
          <cell r="AL28">
            <v>3027</v>
          </cell>
        </row>
        <row r="29">
          <cell r="D29" t="str">
            <v>00008414</v>
          </cell>
          <cell r="E29" t="str">
            <v>张 为</v>
          </cell>
          <cell r="F29">
            <v>930</v>
          </cell>
          <cell r="G29">
            <v>391</v>
          </cell>
          <cell r="H29">
            <v>2376</v>
          </cell>
          <cell r="I29">
            <v>56</v>
          </cell>
          <cell r="J29">
            <v>0</v>
          </cell>
          <cell r="K29">
            <v>0</v>
          </cell>
          <cell r="L29">
            <v>33.03</v>
          </cell>
          <cell r="M29">
            <v>0</v>
          </cell>
          <cell r="N29">
            <v>0</v>
          </cell>
          <cell r="O29">
            <v>0</v>
          </cell>
          <cell r="P29">
            <v>5</v>
          </cell>
          <cell r="Q29">
            <v>0</v>
          </cell>
          <cell r="R29">
            <v>0</v>
          </cell>
          <cell r="S29">
            <v>0</v>
          </cell>
          <cell r="T29">
            <v>3791.03</v>
          </cell>
          <cell r="U29">
            <v>0</v>
          </cell>
          <cell r="V29">
            <v>0</v>
          </cell>
          <cell r="W29">
            <v>0</v>
          </cell>
          <cell r="X29">
            <v>13.21</v>
          </cell>
          <cell r="Y29">
            <v>0</v>
          </cell>
          <cell r="Z29">
            <v>4.6500000000000004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741</v>
          </cell>
          <cell r="AF29">
            <v>0</v>
          </cell>
          <cell r="AG29">
            <v>0</v>
          </cell>
          <cell r="AH29">
            <v>758.86</v>
          </cell>
          <cell r="AI29">
            <v>3032.3</v>
          </cell>
          <cell r="AJ29">
            <v>0.13</v>
          </cell>
          <cell r="AK29">
            <v>0.3</v>
          </cell>
          <cell r="AL29">
            <v>3032</v>
          </cell>
        </row>
        <row r="30">
          <cell r="D30" t="str">
            <v>00008415</v>
          </cell>
          <cell r="E30" t="str">
            <v>陈 明</v>
          </cell>
          <cell r="F30">
            <v>930</v>
          </cell>
          <cell r="G30">
            <v>391</v>
          </cell>
          <cell r="H30">
            <v>2376</v>
          </cell>
          <cell r="I30">
            <v>56</v>
          </cell>
          <cell r="J30">
            <v>0</v>
          </cell>
          <cell r="K30">
            <v>0</v>
          </cell>
          <cell r="L30">
            <v>33.03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3786.03</v>
          </cell>
          <cell r="U30">
            <v>0</v>
          </cell>
          <cell r="V30">
            <v>0</v>
          </cell>
          <cell r="W30">
            <v>0</v>
          </cell>
          <cell r="X30">
            <v>13.21</v>
          </cell>
          <cell r="Y30">
            <v>0</v>
          </cell>
          <cell r="Z30">
            <v>4.6500000000000004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741</v>
          </cell>
          <cell r="AF30">
            <v>0</v>
          </cell>
          <cell r="AG30">
            <v>0</v>
          </cell>
          <cell r="AH30">
            <v>758.86</v>
          </cell>
          <cell r="AI30">
            <v>3027.41</v>
          </cell>
          <cell r="AJ30">
            <v>0.24</v>
          </cell>
          <cell r="AK30">
            <v>0.41</v>
          </cell>
          <cell r="AL30">
            <v>3027</v>
          </cell>
        </row>
        <row r="31">
          <cell r="D31" t="str">
            <v>00008416</v>
          </cell>
          <cell r="E31" t="str">
            <v>苏 凯</v>
          </cell>
          <cell r="F31">
            <v>930</v>
          </cell>
          <cell r="G31">
            <v>391</v>
          </cell>
          <cell r="H31">
            <v>2376</v>
          </cell>
          <cell r="I31">
            <v>56</v>
          </cell>
          <cell r="J31">
            <v>0</v>
          </cell>
          <cell r="K31">
            <v>0</v>
          </cell>
          <cell r="L31">
            <v>33.03</v>
          </cell>
          <cell r="M31">
            <v>0</v>
          </cell>
          <cell r="N31">
            <v>0</v>
          </cell>
          <cell r="O31">
            <v>0</v>
          </cell>
          <cell r="P31">
            <v>5</v>
          </cell>
          <cell r="Q31">
            <v>0</v>
          </cell>
          <cell r="R31">
            <v>0</v>
          </cell>
          <cell r="S31">
            <v>0</v>
          </cell>
          <cell r="T31">
            <v>3791.03</v>
          </cell>
          <cell r="U31">
            <v>0</v>
          </cell>
          <cell r="V31">
            <v>0</v>
          </cell>
          <cell r="W31">
            <v>0</v>
          </cell>
          <cell r="X31">
            <v>13.21</v>
          </cell>
          <cell r="Y31">
            <v>0</v>
          </cell>
          <cell r="Z31">
            <v>4.6500000000000004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741</v>
          </cell>
          <cell r="AF31">
            <v>0</v>
          </cell>
          <cell r="AG31">
            <v>0</v>
          </cell>
          <cell r="AH31">
            <v>758.86</v>
          </cell>
          <cell r="AI31">
            <v>3032.41</v>
          </cell>
          <cell r="AJ31">
            <v>0.24</v>
          </cell>
          <cell r="AK31">
            <v>0.41</v>
          </cell>
          <cell r="AL31">
            <v>3032</v>
          </cell>
        </row>
        <row r="32">
          <cell r="D32" t="str">
            <v>00008417</v>
          </cell>
          <cell r="E32" t="str">
            <v>陈 华</v>
          </cell>
          <cell r="F32">
            <v>930</v>
          </cell>
          <cell r="G32">
            <v>391</v>
          </cell>
          <cell r="H32">
            <v>2376</v>
          </cell>
          <cell r="I32">
            <v>56</v>
          </cell>
          <cell r="J32">
            <v>0</v>
          </cell>
          <cell r="K32">
            <v>0</v>
          </cell>
          <cell r="L32">
            <v>33.03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3786.03</v>
          </cell>
          <cell r="U32">
            <v>479</v>
          </cell>
          <cell r="V32">
            <v>5.7</v>
          </cell>
          <cell r="W32">
            <v>11.3</v>
          </cell>
          <cell r="X32">
            <v>13.21</v>
          </cell>
          <cell r="Y32">
            <v>0</v>
          </cell>
          <cell r="Z32">
            <v>4.6500000000000004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741</v>
          </cell>
          <cell r="AF32">
            <v>0</v>
          </cell>
          <cell r="AG32">
            <v>0</v>
          </cell>
          <cell r="AH32">
            <v>1254.8599999999999</v>
          </cell>
          <cell r="AI32">
            <v>2531.87</v>
          </cell>
          <cell r="AJ32">
            <v>0.7</v>
          </cell>
          <cell r="AK32">
            <v>0.87</v>
          </cell>
          <cell r="AL32">
            <v>2531</v>
          </cell>
        </row>
        <row r="33">
          <cell r="D33" t="str">
            <v>00008498</v>
          </cell>
          <cell r="E33" t="str">
            <v>杨华山</v>
          </cell>
          <cell r="F33">
            <v>730</v>
          </cell>
          <cell r="G33">
            <v>443</v>
          </cell>
          <cell r="H33">
            <v>2102</v>
          </cell>
          <cell r="I33">
            <v>56</v>
          </cell>
          <cell r="J33">
            <v>0</v>
          </cell>
          <cell r="K33">
            <v>0</v>
          </cell>
          <cell r="L33">
            <v>29.33</v>
          </cell>
          <cell r="M33">
            <v>0</v>
          </cell>
          <cell r="N33">
            <v>0</v>
          </cell>
          <cell r="O33">
            <v>0</v>
          </cell>
          <cell r="P33">
            <v>5</v>
          </cell>
          <cell r="Q33">
            <v>0</v>
          </cell>
          <cell r="R33">
            <v>0</v>
          </cell>
          <cell r="S33">
            <v>0</v>
          </cell>
          <cell r="T33">
            <v>3365.33</v>
          </cell>
          <cell r="U33">
            <v>38</v>
          </cell>
          <cell r="V33">
            <v>64.599999999999994</v>
          </cell>
          <cell r="W33">
            <v>82.11</v>
          </cell>
          <cell r="X33">
            <v>11.73</v>
          </cell>
          <cell r="Y33">
            <v>0</v>
          </cell>
          <cell r="Z33">
            <v>3.65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658</v>
          </cell>
          <cell r="AF33">
            <v>0</v>
          </cell>
          <cell r="AG33">
            <v>0</v>
          </cell>
          <cell r="AH33">
            <v>858.09</v>
          </cell>
          <cell r="AI33">
            <v>2507.38</v>
          </cell>
          <cell r="AJ33">
            <v>0.14000000000000001</v>
          </cell>
          <cell r="AK33">
            <v>0.38</v>
          </cell>
          <cell r="AL33">
            <v>2507</v>
          </cell>
        </row>
        <row r="34">
          <cell r="D34" t="str">
            <v>00008820</v>
          </cell>
          <cell r="E34" t="str">
            <v>董前进</v>
          </cell>
          <cell r="F34">
            <v>930</v>
          </cell>
          <cell r="G34">
            <v>365</v>
          </cell>
          <cell r="H34">
            <v>2376</v>
          </cell>
          <cell r="I34">
            <v>56</v>
          </cell>
          <cell r="J34">
            <v>0</v>
          </cell>
          <cell r="K34">
            <v>0</v>
          </cell>
          <cell r="L34">
            <v>32.380000000000003</v>
          </cell>
          <cell r="M34">
            <v>0</v>
          </cell>
          <cell r="N34">
            <v>0</v>
          </cell>
          <cell r="O34">
            <v>0</v>
          </cell>
          <cell r="P34">
            <v>5</v>
          </cell>
          <cell r="Q34">
            <v>0</v>
          </cell>
          <cell r="R34">
            <v>0</v>
          </cell>
          <cell r="S34">
            <v>0</v>
          </cell>
          <cell r="T34">
            <v>3764.38</v>
          </cell>
          <cell r="U34">
            <v>0</v>
          </cell>
          <cell r="V34">
            <v>0</v>
          </cell>
          <cell r="W34">
            <v>0</v>
          </cell>
          <cell r="X34">
            <v>12.95</v>
          </cell>
          <cell r="Y34">
            <v>0</v>
          </cell>
          <cell r="Z34">
            <v>4.6500000000000004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734</v>
          </cell>
          <cell r="AF34">
            <v>0</v>
          </cell>
          <cell r="AG34">
            <v>0</v>
          </cell>
          <cell r="AH34">
            <v>751.6</v>
          </cell>
          <cell r="AI34">
            <v>3013.38</v>
          </cell>
          <cell r="AJ34">
            <v>0.6</v>
          </cell>
          <cell r="AK34">
            <v>0.38</v>
          </cell>
          <cell r="AL34">
            <v>3013</v>
          </cell>
        </row>
        <row r="35">
          <cell r="D35" t="str">
            <v>00008898</v>
          </cell>
          <cell r="E35" t="str">
            <v>刘数华</v>
          </cell>
          <cell r="F35">
            <v>930</v>
          </cell>
          <cell r="G35">
            <v>443</v>
          </cell>
          <cell r="H35">
            <v>2376</v>
          </cell>
          <cell r="I35">
            <v>56</v>
          </cell>
          <cell r="J35">
            <v>0</v>
          </cell>
          <cell r="K35">
            <v>0</v>
          </cell>
          <cell r="L35">
            <v>34.33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Q35">
            <v>0</v>
          </cell>
          <cell r="R35">
            <v>0</v>
          </cell>
          <cell r="S35">
            <v>0</v>
          </cell>
          <cell r="T35">
            <v>3844.33</v>
          </cell>
          <cell r="U35">
            <v>1116</v>
          </cell>
          <cell r="V35">
            <v>0</v>
          </cell>
          <cell r="W35">
            <v>0</v>
          </cell>
          <cell r="X35">
            <v>13.73</v>
          </cell>
          <cell r="Y35">
            <v>0</v>
          </cell>
          <cell r="Z35">
            <v>4.6500000000000004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754</v>
          </cell>
          <cell r="AF35">
            <v>0</v>
          </cell>
          <cell r="AG35">
            <v>0</v>
          </cell>
          <cell r="AH35">
            <v>1888.38</v>
          </cell>
          <cell r="AI35">
            <v>1956.5</v>
          </cell>
          <cell r="AJ35">
            <v>0.55000000000000004</v>
          </cell>
          <cell r="AK35">
            <v>0.5</v>
          </cell>
          <cell r="AL35">
            <v>1956</v>
          </cell>
        </row>
        <row r="36">
          <cell r="D36" t="str">
            <v>00008921</v>
          </cell>
          <cell r="E36" t="str">
            <v>徐 青</v>
          </cell>
          <cell r="F36">
            <v>1040</v>
          </cell>
          <cell r="G36">
            <v>735</v>
          </cell>
          <cell r="H36">
            <v>2413</v>
          </cell>
          <cell r="I36">
            <v>56</v>
          </cell>
          <cell r="J36">
            <v>20</v>
          </cell>
          <cell r="K36">
            <v>0</v>
          </cell>
          <cell r="L36">
            <v>44.38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4308.38</v>
          </cell>
          <cell r="U36">
            <v>0</v>
          </cell>
          <cell r="V36">
            <v>0</v>
          </cell>
          <cell r="W36">
            <v>0</v>
          </cell>
          <cell r="X36">
            <v>17.75</v>
          </cell>
          <cell r="Y36">
            <v>0</v>
          </cell>
          <cell r="Z36">
            <v>5.2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860</v>
          </cell>
          <cell r="AF36">
            <v>0</v>
          </cell>
          <cell r="AG36">
            <v>0</v>
          </cell>
          <cell r="AH36">
            <v>882.95</v>
          </cell>
          <cell r="AI36">
            <v>3426.05</v>
          </cell>
          <cell r="AJ36">
            <v>0.62</v>
          </cell>
          <cell r="AK36">
            <v>0.05</v>
          </cell>
          <cell r="AL36">
            <v>3426</v>
          </cell>
        </row>
        <row r="37">
          <cell r="D37" t="str">
            <v>00008996</v>
          </cell>
          <cell r="E37" t="str">
            <v>徐国章</v>
          </cell>
          <cell r="F37">
            <v>590</v>
          </cell>
          <cell r="G37">
            <v>295</v>
          </cell>
          <cell r="H37">
            <v>1864</v>
          </cell>
          <cell r="I37">
            <v>56</v>
          </cell>
          <cell r="J37">
            <v>0</v>
          </cell>
          <cell r="K37">
            <v>0</v>
          </cell>
          <cell r="L37">
            <v>22.13</v>
          </cell>
          <cell r="M37">
            <v>0</v>
          </cell>
          <cell r="N37">
            <v>200</v>
          </cell>
          <cell r="O37">
            <v>0</v>
          </cell>
          <cell r="P37">
            <v>5</v>
          </cell>
          <cell r="Q37">
            <v>0</v>
          </cell>
          <cell r="R37">
            <v>0</v>
          </cell>
          <cell r="S37">
            <v>0</v>
          </cell>
          <cell r="T37">
            <v>3032.13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2.95</v>
          </cell>
          <cell r="AA37">
            <v>0</v>
          </cell>
          <cell r="AB37">
            <v>244.93</v>
          </cell>
          <cell r="AC37">
            <v>0</v>
          </cell>
          <cell r="AD37">
            <v>0</v>
          </cell>
          <cell r="AE37">
            <v>546</v>
          </cell>
          <cell r="AF37">
            <v>0</v>
          </cell>
          <cell r="AG37">
            <v>0</v>
          </cell>
          <cell r="AH37">
            <v>793.88</v>
          </cell>
          <cell r="AI37">
            <v>2238.5500000000002</v>
          </cell>
          <cell r="AJ37">
            <v>0.3</v>
          </cell>
          <cell r="AK37">
            <v>0.55000000000000004</v>
          </cell>
          <cell r="AL37">
            <v>2238</v>
          </cell>
        </row>
        <row r="38">
          <cell r="D38" t="str">
            <v>00009155</v>
          </cell>
          <cell r="E38" t="str">
            <v>付小莉</v>
          </cell>
          <cell r="F38">
            <v>930</v>
          </cell>
          <cell r="G38">
            <v>341</v>
          </cell>
          <cell r="H38">
            <v>2376</v>
          </cell>
          <cell r="I38">
            <v>56</v>
          </cell>
          <cell r="J38">
            <v>20</v>
          </cell>
          <cell r="K38">
            <v>0</v>
          </cell>
          <cell r="L38">
            <v>831.78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4554.78</v>
          </cell>
          <cell r="U38">
            <v>0</v>
          </cell>
          <cell r="V38">
            <v>0</v>
          </cell>
          <cell r="W38">
            <v>0</v>
          </cell>
          <cell r="X38">
            <v>12.71</v>
          </cell>
          <cell r="Y38">
            <v>0</v>
          </cell>
          <cell r="Z38">
            <v>4.6500000000000004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728</v>
          </cell>
          <cell r="AF38">
            <v>0</v>
          </cell>
          <cell r="AG38">
            <v>0</v>
          </cell>
          <cell r="AH38">
            <v>745.36</v>
          </cell>
          <cell r="AI38">
            <v>3810.14</v>
          </cell>
          <cell r="AJ38">
            <v>0.72</v>
          </cell>
          <cell r="AK38">
            <v>0.14000000000000001</v>
          </cell>
          <cell r="AL38">
            <v>3810</v>
          </cell>
        </row>
        <row r="39">
          <cell r="D39" t="str">
            <v>00009234</v>
          </cell>
          <cell r="E39" t="str">
            <v>舒彩文</v>
          </cell>
          <cell r="F39">
            <v>930</v>
          </cell>
          <cell r="G39">
            <v>317</v>
          </cell>
          <cell r="H39">
            <v>2376</v>
          </cell>
          <cell r="I39">
            <v>56</v>
          </cell>
          <cell r="J39">
            <v>0</v>
          </cell>
          <cell r="K39">
            <v>0</v>
          </cell>
          <cell r="L39">
            <v>31.18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3710.18</v>
          </cell>
          <cell r="U39">
            <v>0</v>
          </cell>
          <cell r="V39">
            <v>0</v>
          </cell>
          <cell r="W39">
            <v>0</v>
          </cell>
          <cell r="X39">
            <v>12.47</v>
          </cell>
          <cell r="Y39">
            <v>0</v>
          </cell>
          <cell r="Z39">
            <v>4.6500000000000004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722</v>
          </cell>
          <cell r="AF39">
            <v>0</v>
          </cell>
          <cell r="AG39">
            <v>0</v>
          </cell>
          <cell r="AH39">
            <v>739.12</v>
          </cell>
          <cell r="AI39">
            <v>2971.94</v>
          </cell>
          <cell r="AJ39">
            <v>0.88</v>
          </cell>
          <cell r="AK39">
            <v>0.94</v>
          </cell>
          <cell r="AL39">
            <v>2971</v>
          </cell>
        </row>
        <row r="40">
          <cell r="D40" t="str">
            <v>00009235</v>
          </cell>
          <cell r="E40" t="str">
            <v>李 丹</v>
          </cell>
          <cell r="F40">
            <v>730</v>
          </cell>
          <cell r="G40">
            <v>317</v>
          </cell>
          <cell r="H40">
            <v>2102</v>
          </cell>
          <cell r="I40">
            <v>56</v>
          </cell>
          <cell r="J40">
            <v>0</v>
          </cell>
          <cell r="K40">
            <v>0</v>
          </cell>
          <cell r="L40">
            <v>826.18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4031.18</v>
          </cell>
          <cell r="U40">
            <v>0</v>
          </cell>
          <cell r="V40">
            <v>0</v>
          </cell>
          <cell r="W40">
            <v>0</v>
          </cell>
          <cell r="X40">
            <v>10.47</v>
          </cell>
          <cell r="Y40">
            <v>0</v>
          </cell>
          <cell r="Z40">
            <v>3.65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627</v>
          </cell>
          <cell r="AF40">
            <v>0</v>
          </cell>
          <cell r="AG40">
            <v>0</v>
          </cell>
          <cell r="AH40">
            <v>641.12</v>
          </cell>
          <cell r="AI40">
            <v>3390.19</v>
          </cell>
          <cell r="AJ40">
            <v>0.13</v>
          </cell>
          <cell r="AK40">
            <v>0.19</v>
          </cell>
          <cell r="AL40">
            <v>3390</v>
          </cell>
        </row>
        <row r="41">
          <cell r="D41" t="str">
            <v>00009305</v>
          </cell>
          <cell r="E41" t="str">
            <v>顾文权</v>
          </cell>
          <cell r="F41">
            <v>730</v>
          </cell>
          <cell r="G41">
            <v>317</v>
          </cell>
          <cell r="H41">
            <v>2102</v>
          </cell>
          <cell r="I41">
            <v>56</v>
          </cell>
          <cell r="J41">
            <v>0</v>
          </cell>
          <cell r="K41">
            <v>0</v>
          </cell>
          <cell r="L41">
            <v>826.18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4031.18</v>
          </cell>
          <cell r="U41">
            <v>0</v>
          </cell>
          <cell r="V41">
            <v>0</v>
          </cell>
          <cell r="W41">
            <v>0</v>
          </cell>
          <cell r="X41">
            <v>10.47</v>
          </cell>
          <cell r="Y41">
            <v>0</v>
          </cell>
          <cell r="Z41">
            <v>3.65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627</v>
          </cell>
          <cell r="AF41">
            <v>0</v>
          </cell>
          <cell r="AG41">
            <v>0</v>
          </cell>
          <cell r="AH41">
            <v>641.12</v>
          </cell>
          <cell r="AI41">
            <v>3390.8</v>
          </cell>
          <cell r="AJ41">
            <v>0.74</v>
          </cell>
          <cell r="AK41">
            <v>0.8</v>
          </cell>
          <cell r="AL41">
            <v>3390</v>
          </cell>
        </row>
        <row r="42">
          <cell r="D42" t="str">
            <v>00009334</v>
          </cell>
          <cell r="E42" t="str">
            <v>左志香</v>
          </cell>
          <cell r="F42">
            <v>590</v>
          </cell>
          <cell r="G42">
            <v>253</v>
          </cell>
          <cell r="H42">
            <v>1864</v>
          </cell>
          <cell r="I42">
            <v>56</v>
          </cell>
          <cell r="J42">
            <v>20</v>
          </cell>
          <cell r="K42">
            <v>0</v>
          </cell>
          <cell r="L42">
            <v>21.08</v>
          </cell>
          <cell r="M42">
            <v>0</v>
          </cell>
          <cell r="N42">
            <v>200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3004.08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2.95</v>
          </cell>
          <cell r="AA42">
            <v>0</v>
          </cell>
          <cell r="AB42">
            <v>240.53</v>
          </cell>
          <cell r="AC42">
            <v>0</v>
          </cell>
          <cell r="AD42">
            <v>0</v>
          </cell>
          <cell r="AE42">
            <v>536</v>
          </cell>
          <cell r="AF42">
            <v>0</v>
          </cell>
          <cell r="AG42">
            <v>0</v>
          </cell>
          <cell r="AH42">
            <v>779.48</v>
          </cell>
          <cell r="AI42">
            <v>2224.81</v>
          </cell>
          <cell r="AJ42">
            <v>0.21</v>
          </cell>
          <cell r="AK42">
            <v>0.81</v>
          </cell>
          <cell r="AL42">
            <v>2224</v>
          </cell>
        </row>
        <row r="43">
          <cell r="D43" t="str">
            <v>00009377</v>
          </cell>
          <cell r="E43" t="str">
            <v>史良胜</v>
          </cell>
          <cell r="F43">
            <v>930</v>
          </cell>
          <cell r="G43">
            <v>341</v>
          </cell>
          <cell r="H43">
            <v>2376</v>
          </cell>
          <cell r="I43">
            <v>56</v>
          </cell>
          <cell r="J43">
            <v>0</v>
          </cell>
          <cell r="K43">
            <v>0</v>
          </cell>
          <cell r="L43">
            <v>31.78</v>
          </cell>
          <cell r="M43">
            <v>0</v>
          </cell>
          <cell r="N43">
            <v>0</v>
          </cell>
          <cell r="O43">
            <v>0</v>
          </cell>
          <cell r="P43">
            <v>5</v>
          </cell>
          <cell r="Q43">
            <v>0</v>
          </cell>
          <cell r="R43">
            <v>0</v>
          </cell>
          <cell r="S43">
            <v>0</v>
          </cell>
          <cell r="T43">
            <v>3739.78</v>
          </cell>
          <cell r="U43">
            <v>0</v>
          </cell>
          <cell r="V43">
            <v>0</v>
          </cell>
          <cell r="W43">
            <v>0</v>
          </cell>
          <cell r="X43">
            <v>12.71</v>
          </cell>
          <cell r="Y43">
            <v>0</v>
          </cell>
          <cell r="Z43">
            <v>4.6500000000000004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728</v>
          </cell>
          <cell r="AF43">
            <v>0</v>
          </cell>
          <cell r="AG43">
            <v>0</v>
          </cell>
          <cell r="AH43">
            <v>745.36</v>
          </cell>
          <cell r="AI43">
            <v>2994.46</v>
          </cell>
          <cell r="AJ43">
            <v>0.04</v>
          </cell>
          <cell r="AK43">
            <v>0.46</v>
          </cell>
          <cell r="AL43">
            <v>2994</v>
          </cell>
        </row>
        <row r="44">
          <cell r="D44" t="str">
            <v>00009454</v>
          </cell>
          <cell r="E44" t="str">
            <v>夏军强</v>
          </cell>
          <cell r="F44">
            <v>1630</v>
          </cell>
          <cell r="G44">
            <v>613</v>
          </cell>
          <cell r="H44">
            <v>2961</v>
          </cell>
          <cell r="I44">
            <v>56</v>
          </cell>
          <cell r="J44">
            <v>0</v>
          </cell>
          <cell r="K44">
            <v>0</v>
          </cell>
          <cell r="L44">
            <v>1556.08</v>
          </cell>
          <cell r="M44">
            <v>0</v>
          </cell>
          <cell r="N44">
            <v>0</v>
          </cell>
          <cell r="O44">
            <v>0</v>
          </cell>
          <cell r="P44">
            <v>5</v>
          </cell>
          <cell r="Q44">
            <v>0</v>
          </cell>
          <cell r="R44">
            <v>0</v>
          </cell>
          <cell r="S44">
            <v>0</v>
          </cell>
          <cell r="T44">
            <v>6821.08</v>
          </cell>
          <cell r="U44">
            <v>0</v>
          </cell>
          <cell r="V44">
            <v>691.6</v>
          </cell>
          <cell r="W44">
            <v>24.99</v>
          </cell>
          <cell r="X44">
            <v>22.43</v>
          </cell>
          <cell r="Y44">
            <v>20.059999999999999</v>
          </cell>
          <cell r="Z44">
            <v>8.15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1069</v>
          </cell>
          <cell r="AF44">
            <v>0</v>
          </cell>
          <cell r="AG44">
            <v>0</v>
          </cell>
          <cell r="AH44">
            <v>1836.23</v>
          </cell>
          <cell r="AI44">
            <v>4985.67</v>
          </cell>
          <cell r="AJ44">
            <v>0.82</v>
          </cell>
          <cell r="AK44">
            <v>0.67</v>
          </cell>
          <cell r="AL44">
            <v>4985</v>
          </cell>
        </row>
        <row r="45">
          <cell r="D45" t="str">
            <v>00009460</v>
          </cell>
          <cell r="E45" t="str">
            <v>韩春玲</v>
          </cell>
          <cell r="F45">
            <v>590</v>
          </cell>
          <cell r="G45">
            <v>295</v>
          </cell>
          <cell r="H45">
            <v>1864</v>
          </cell>
          <cell r="I45">
            <v>56</v>
          </cell>
          <cell r="J45">
            <v>20</v>
          </cell>
          <cell r="K45">
            <v>0</v>
          </cell>
          <cell r="L45">
            <v>22.13</v>
          </cell>
          <cell r="M45">
            <v>0</v>
          </cell>
          <cell r="N45">
            <v>0</v>
          </cell>
          <cell r="O45">
            <v>0</v>
          </cell>
          <cell r="P45">
            <v>5</v>
          </cell>
          <cell r="Q45">
            <v>0</v>
          </cell>
          <cell r="R45">
            <v>0</v>
          </cell>
          <cell r="S45">
            <v>0</v>
          </cell>
          <cell r="T45">
            <v>2852.13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2.95</v>
          </cell>
          <cell r="AA45">
            <v>0</v>
          </cell>
          <cell r="AB45">
            <v>244.93</v>
          </cell>
          <cell r="AC45">
            <v>0</v>
          </cell>
          <cell r="AD45">
            <v>0</v>
          </cell>
          <cell r="AE45">
            <v>546</v>
          </cell>
          <cell r="AF45">
            <v>0</v>
          </cell>
          <cell r="AG45">
            <v>0</v>
          </cell>
          <cell r="AH45">
            <v>793.88</v>
          </cell>
          <cell r="AI45">
            <v>2058.54</v>
          </cell>
          <cell r="AJ45">
            <v>0.28999999999999998</v>
          </cell>
          <cell r="AK45">
            <v>0.54</v>
          </cell>
          <cell r="AL45">
            <v>2058</v>
          </cell>
        </row>
        <row r="46">
          <cell r="D46" t="str">
            <v>00009650</v>
          </cell>
          <cell r="E46" t="str">
            <v>卫晓婧</v>
          </cell>
          <cell r="F46">
            <v>620</v>
          </cell>
          <cell r="G46">
            <v>253</v>
          </cell>
          <cell r="H46">
            <v>1901</v>
          </cell>
          <cell r="I46">
            <v>56</v>
          </cell>
          <cell r="J46">
            <v>20</v>
          </cell>
          <cell r="K46">
            <v>0</v>
          </cell>
          <cell r="L46">
            <v>21.83</v>
          </cell>
          <cell r="M46">
            <v>0</v>
          </cell>
          <cell r="N46">
            <v>0</v>
          </cell>
          <cell r="O46">
            <v>0</v>
          </cell>
          <cell r="P46">
            <v>5</v>
          </cell>
          <cell r="Q46">
            <v>0</v>
          </cell>
          <cell r="R46">
            <v>0</v>
          </cell>
          <cell r="S46">
            <v>0</v>
          </cell>
          <cell r="T46">
            <v>2876.83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3.1</v>
          </cell>
          <cell r="AA46">
            <v>0</v>
          </cell>
          <cell r="AB46">
            <v>246.58</v>
          </cell>
          <cell r="AC46">
            <v>0</v>
          </cell>
          <cell r="AD46">
            <v>0</v>
          </cell>
          <cell r="AE46">
            <v>550</v>
          </cell>
          <cell r="AF46">
            <v>0</v>
          </cell>
          <cell r="AG46">
            <v>0</v>
          </cell>
          <cell r="AH46">
            <v>799.68</v>
          </cell>
          <cell r="AI46">
            <v>2077.61</v>
          </cell>
          <cell r="AJ46">
            <v>0.46</v>
          </cell>
          <cell r="AK46">
            <v>0.61</v>
          </cell>
          <cell r="AL46">
            <v>2077</v>
          </cell>
        </row>
        <row r="47">
          <cell r="D47" t="str">
            <v>00009654</v>
          </cell>
          <cell r="E47" t="str">
            <v>程勇刚</v>
          </cell>
          <cell r="F47">
            <v>730</v>
          </cell>
          <cell r="G47">
            <v>341</v>
          </cell>
          <cell r="H47">
            <v>2102</v>
          </cell>
          <cell r="I47">
            <v>56</v>
          </cell>
          <cell r="J47">
            <v>0</v>
          </cell>
          <cell r="K47">
            <v>0</v>
          </cell>
          <cell r="L47">
            <v>26.77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3255.77</v>
          </cell>
          <cell r="U47">
            <v>0</v>
          </cell>
          <cell r="V47">
            <v>0</v>
          </cell>
          <cell r="W47">
            <v>0</v>
          </cell>
          <cell r="X47">
            <v>10.71</v>
          </cell>
          <cell r="Y47">
            <v>0</v>
          </cell>
          <cell r="Z47">
            <v>3.65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793</v>
          </cell>
          <cell r="AF47">
            <v>0</v>
          </cell>
          <cell r="AG47">
            <v>0</v>
          </cell>
          <cell r="AH47">
            <v>807.36</v>
          </cell>
          <cell r="AI47">
            <v>2449.08</v>
          </cell>
          <cell r="AJ47">
            <v>0.67</v>
          </cell>
          <cell r="AK47">
            <v>0.08</v>
          </cell>
          <cell r="AL47">
            <v>2449</v>
          </cell>
        </row>
        <row r="48">
          <cell r="D48" t="str">
            <v>00009667</v>
          </cell>
          <cell r="E48" t="str">
            <v>刘德地</v>
          </cell>
          <cell r="F48">
            <v>930</v>
          </cell>
          <cell r="G48">
            <v>391</v>
          </cell>
          <cell r="H48">
            <v>2376</v>
          </cell>
          <cell r="I48">
            <v>56</v>
          </cell>
          <cell r="J48">
            <v>0</v>
          </cell>
          <cell r="K48">
            <v>0</v>
          </cell>
          <cell r="L48">
            <v>33.03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3786.03</v>
          </cell>
          <cell r="U48">
            <v>0</v>
          </cell>
          <cell r="V48">
            <v>0</v>
          </cell>
          <cell r="W48">
            <v>0</v>
          </cell>
          <cell r="X48">
            <v>13.21</v>
          </cell>
          <cell r="Y48">
            <v>0</v>
          </cell>
          <cell r="Z48">
            <v>4.6500000000000004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741</v>
          </cell>
          <cell r="AF48">
            <v>0</v>
          </cell>
          <cell r="AG48">
            <v>0</v>
          </cell>
          <cell r="AH48">
            <v>758.86</v>
          </cell>
          <cell r="AI48">
            <v>3027.61</v>
          </cell>
          <cell r="AJ48">
            <v>0.44</v>
          </cell>
          <cell r="AK48">
            <v>0.61</v>
          </cell>
          <cell r="AL48">
            <v>3027</v>
          </cell>
        </row>
        <row r="49">
          <cell r="D49" t="str">
            <v>00009671</v>
          </cell>
          <cell r="E49" t="str">
            <v>刘小然</v>
          </cell>
          <cell r="F49">
            <v>680</v>
          </cell>
          <cell r="G49">
            <v>317</v>
          </cell>
          <cell r="H49">
            <v>2065</v>
          </cell>
          <cell r="I49">
            <v>56</v>
          </cell>
          <cell r="J49">
            <v>20</v>
          </cell>
          <cell r="K49">
            <v>0</v>
          </cell>
          <cell r="L49">
            <v>24.93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3162.93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3.4</v>
          </cell>
          <cell r="AA49">
            <v>0</v>
          </cell>
          <cell r="AB49">
            <v>272.10000000000002</v>
          </cell>
          <cell r="AC49">
            <v>0</v>
          </cell>
          <cell r="AD49">
            <v>0</v>
          </cell>
          <cell r="AE49">
            <v>608</v>
          </cell>
          <cell r="AF49">
            <v>0</v>
          </cell>
          <cell r="AG49">
            <v>0</v>
          </cell>
          <cell r="AH49">
            <v>883.5</v>
          </cell>
          <cell r="AI49">
            <v>2279.7199999999998</v>
          </cell>
          <cell r="AJ49">
            <v>0.28999999999999998</v>
          </cell>
          <cell r="AK49">
            <v>0.72</v>
          </cell>
          <cell r="AL49">
            <v>2279</v>
          </cell>
        </row>
        <row r="50">
          <cell r="D50" t="str">
            <v>00009682</v>
          </cell>
          <cell r="E50" t="str">
            <v>王志远</v>
          </cell>
          <cell r="F50">
            <v>620</v>
          </cell>
          <cell r="G50">
            <v>233</v>
          </cell>
          <cell r="H50">
            <v>1901</v>
          </cell>
          <cell r="I50">
            <v>56</v>
          </cell>
          <cell r="J50">
            <v>0</v>
          </cell>
          <cell r="K50">
            <v>0</v>
          </cell>
          <cell r="L50">
            <v>21.33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2831.33</v>
          </cell>
          <cell r="U50">
            <v>0</v>
          </cell>
          <cell r="V50">
            <v>114</v>
          </cell>
          <cell r="W50">
            <v>0</v>
          </cell>
          <cell r="X50">
            <v>0</v>
          </cell>
          <cell r="Y50">
            <v>0</v>
          </cell>
          <cell r="Z50">
            <v>3.1</v>
          </cell>
          <cell r="AA50">
            <v>0</v>
          </cell>
          <cell r="AB50">
            <v>244.6</v>
          </cell>
          <cell r="AC50">
            <v>0</v>
          </cell>
          <cell r="AD50">
            <v>0</v>
          </cell>
          <cell r="AE50">
            <v>545</v>
          </cell>
          <cell r="AF50">
            <v>0</v>
          </cell>
          <cell r="AG50">
            <v>0</v>
          </cell>
          <cell r="AH50">
            <v>906.7</v>
          </cell>
          <cell r="AI50">
            <v>1925.51</v>
          </cell>
          <cell r="AJ50">
            <v>0.88</v>
          </cell>
          <cell r="AK50">
            <v>0.51</v>
          </cell>
          <cell r="AL50">
            <v>1925</v>
          </cell>
        </row>
        <row r="51">
          <cell r="D51" t="str">
            <v>00009683</v>
          </cell>
          <cell r="E51" t="str">
            <v>韩 琦</v>
          </cell>
          <cell r="F51">
            <v>590</v>
          </cell>
          <cell r="G51">
            <v>233</v>
          </cell>
          <cell r="H51">
            <v>1864</v>
          </cell>
          <cell r="I51">
            <v>56</v>
          </cell>
          <cell r="J51">
            <v>0</v>
          </cell>
          <cell r="K51">
            <v>0</v>
          </cell>
          <cell r="L51">
            <v>20.58</v>
          </cell>
          <cell r="M51">
            <v>0</v>
          </cell>
          <cell r="N51">
            <v>200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2963.58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2.95</v>
          </cell>
          <cell r="AA51">
            <v>0</v>
          </cell>
          <cell r="AB51">
            <v>238.55</v>
          </cell>
          <cell r="AC51">
            <v>0</v>
          </cell>
          <cell r="AD51">
            <v>0</v>
          </cell>
          <cell r="AE51">
            <v>531</v>
          </cell>
          <cell r="AF51">
            <v>0</v>
          </cell>
          <cell r="AG51">
            <v>0</v>
          </cell>
          <cell r="AH51">
            <v>772.5</v>
          </cell>
          <cell r="AI51">
            <v>2191.88</v>
          </cell>
          <cell r="AJ51">
            <v>0.8</v>
          </cell>
          <cell r="AK51">
            <v>0.88</v>
          </cell>
          <cell r="AL51">
            <v>2191</v>
          </cell>
        </row>
        <row r="52">
          <cell r="D52" t="str">
            <v>00009705</v>
          </cell>
          <cell r="E52" t="str">
            <v>张慧芸</v>
          </cell>
          <cell r="F52">
            <v>590</v>
          </cell>
          <cell r="G52">
            <v>233</v>
          </cell>
          <cell r="H52">
            <v>1864</v>
          </cell>
          <cell r="I52">
            <v>56</v>
          </cell>
          <cell r="J52">
            <v>20</v>
          </cell>
          <cell r="K52">
            <v>0</v>
          </cell>
          <cell r="L52">
            <v>20.58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2783.58</v>
          </cell>
          <cell r="U52">
            <v>30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2.95</v>
          </cell>
          <cell r="AA52">
            <v>0</v>
          </cell>
          <cell r="AB52">
            <v>238.55</v>
          </cell>
          <cell r="AC52">
            <v>0</v>
          </cell>
          <cell r="AD52">
            <v>0</v>
          </cell>
          <cell r="AE52">
            <v>531</v>
          </cell>
          <cell r="AF52">
            <v>0</v>
          </cell>
          <cell r="AG52">
            <v>0</v>
          </cell>
          <cell r="AH52">
            <v>802.5</v>
          </cell>
          <cell r="AI52">
            <v>1981.18</v>
          </cell>
          <cell r="AJ52">
            <v>0.1</v>
          </cell>
          <cell r="AK52">
            <v>0.18</v>
          </cell>
          <cell r="AL52">
            <v>1981</v>
          </cell>
        </row>
        <row r="53">
          <cell r="D53" t="str">
            <v>00009739</v>
          </cell>
          <cell r="E53" t="str">
            <v>潘国艳</v>
          </cell>
          <cell r="F53">
            <v>730</v>
          </cell>
          <cell r="G53">
            <v>341</v>
          </cell>
          <cell r="H53">
            <v>2102</v>
          </cell>
          <cell r="I53">
            <v>56</v>
          </cell>
          <cell r="J53">
            <v>20</v>
          </cell>
          <cell r="K53">
            <v>0</v>
          </cell>
          <cell r="L53">
            <v>26.77</v>
          </cell>
          <cell r="M53">
            <v>0</v>
          </cell>
          <cell r="N53">
            <v>0</v>
          </cell>
          <cell r="O53">
            <v>0</v>
          </cell>
          <cell r="P53">
            <v>5</v>
          </cell>
          <cell r="Q53">
            <v>0</v>
          </cell>
          <cell r="R53">
            <v>0</v>
          </cell>
          <cell r="S53">
            <v>0</v>
          </cell>
          <cell r="T53">
            <v>3280.77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3.65</v>
          </cell>
          <cell r="AA53">
            <v>0</v>
          </cell>
          <cell r="AB53">
            <v>269.68</v>
          </cell>
          <cell r="AC53">
            <v>0</v>
          </cell>
          <cell r="AD53">
            <v>0</v>
          </cell>
          <cell r="AE53">
            <v>793</v>
          </cell>
          <cell r="AF53">
            <v>0</v>
          </cell>
          <cell r="AG53">
            <v>0</v>
          </cell>
          <cell r="AH53">
            <v>1066.33</v>
          </cell>
          <cell r="AI53">
            <v>2215.11</v>
          </cell>
          <cell r="AJ53">
            <v>0.67</v>
          </cell>
          <cell r="AK53">
            <v>0.11</v>
          </cell>
          <cell r="AL53">
            <v>2215</v>
          </cell>
        </row>
        <row r="54">
          <cell r="D54" t="str">
            <v>00009823</v>
          </cell>
          <cell r="E54" t="str">
            <v>严 鹏</v>
          </cell>
          <cell r="F54">
            <v>930</v>
          </cell>
          <cell r="G54">
            <v>391</v>
          </cell>
          <cell r="H54">
            <v>2376</v>
          </cell>
          <cell r="I54">
            <v>56</v>
          </cell>
          <cell r="J54">
            <v>0</v>
          </cell>
          <cell r="K54">
            <v>0</v>
          </cell>
          <cell r="L54">
            <v>33.03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3786.03</v>
          </cell>
          <cell r="U54">
            <v>1116</v>
          </cell>
          <cell r="V54">
            <v>0</v>
          </cell>
          <cell r="W54">
            <v>0</v>
          </cell>
          <cell r="X54">
            <v>13.21</v>
          </cell>
          <cell r="Y54">
            <v>0</v>
          </cell>
          <cell r="Z54">
            <v>4.6500000000000004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741</v>
          </cell>
          <cell r="AF54">
            <v>0</v>
          </cell>
          <cell r="AG54">
            <v>0</v>
          </cell>
          <cell r="AH54">
            <v>1874.86</v>
          </cell>
          <cell r="AI54">
            <v>1911.53</v>
          </cell>
          <cell r="AJ54">
            <v>0.36</v>
          </cell>
          <cell r="AK54">
            <v>0.53</v>
          </cell>
          <cell r="AL54">
            <v>1911</v>
          </cell>
        </row>
        <row r="55">
          <cell r="D55" t="str">
            <v>00009855</v>
          </cell>
          <cell r="E55" t="str">
            <v>何 吉</v>
          </cell>
          <cell r="F55">
            <v>730</v>
          </cell>
          <cell r="G55">
            <v>341</v>
          </cell>
          <cell r="H55">
            <v>2102</v>
          </cell>
          <cell r="I55">
            <v>56</v>
          </cell>
          <cell r="J55">
            <v>0</v>
          </cell>
          <cell r="K55">
            <v>0</v>
          </cell>
          <cell r="L55">
            <v>26.77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3255.77</v>
          </cell>
          <cell r="U55">
            <v>0</v>
          </cell>
          <cell r="V55">
            <v>0</v>
          </cell>
          <cell r="W55">
            <v>0</v>
          </cell>
          <cell r="X55">
            <v>10.71</v>
          </cell>
          <cell r="Y55">
            <v>0</v>
          </cell>
          <cell r="Z55">
            <v>3.65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793</v>
          </cell>
          <cell r="AF55">
            <v>0</v>
          </cell>
          <cell r="AG55">
            <v>0</v>
          </cell>
          <cell r="AH55">
            <v>807.36</v>
          </cell>
          <cell r="AI55">
            <v>2448.9</v>
          </cell>
          <cell r="AJ55">
            <v>0.49</v>
          </cell>
          <cell r="AK55">
            <v>0.9</v>
          </cell>
          <cell r="AL55">
            <v>2448</v>
          </cell>
        </row>
        <row r="56">
          <cell r="D56" t="str">
            <v>00009934</v>
          </cell>
          <cell r="E56" t="str">
            <v>徐维生</v>
          </cell>
          <cell r="F56">
            <v>730</v>
          </cell>
          <cell r="G56">
            <v>317</v>
          </cell>
          <cell r="H56">
            <v>2102</v>
          </cell>
          <cell r="I56">
            <v>56</v>
          </cell>
          <cell r="J56">
            <v>0</v>
          </cell>
          <cell r="K56">
            <v>0</v>
          </cell>
          <cell r="L56">
            <v>26.18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3231.18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3231.32</v>
          </cell>
          <cell r="AJ56">
            <v>0.14000000000000001</v>
          </cell>
          <cell r="AK56">
            <v>0.32</v>
          </cell>
          <cell r="AL56">
            <v>3231</v>
          </cell>
        </row>
        <row r="57">
          <cell r="D57" t="str">
            <v>00009969</v>
          </cell>
          <cell r="E57" t="str">
            <v>刘 祎</v>
          </cell>
          <cell r="F57">
            <v>590</v>
          </cell>
          <cell r="G57">
            <v>215</v>
          </cell>
          <cell r="H57">
            <v>1864</v>
          </cell>
          <cell r="I57">
            <v>56</v>
          </cell>
          <cell r="J57">
            <v>20</v>
          </cell>
          <cell r="K57">
            <v>0</v>
          </cell>
          <cell r="L57">
            <v>20.13</v>
          </cell>
          <cell r="M57">
            <v>0</v>
          </cell>
          <cell r="N57">
            <v>200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2965.13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2.95</v>
          </cell>
          <cell r="AA57">
            <v>0</v>
          </cell>
          <cell r="AB57">
            <v>238.55</v>
          </cell>
          <cell r="AC57">
            <v>0</v>
          </cell>
          <cell r="AD57">
            <v>0</v>
          </cell>
          <cell r="AE57">
            <v>526</v>
          </cell>
          <cell r="AF57">
            <v>0</v>
          </cell>
          <cell r="AG57">
            <v>0</v>
          </cell>
          <cell r="AH57">
            <v>767.5</v>
          </cell>
          <cell r="AI57">
            <v>2198.2399999999998</v>
          </cell>
          <cell r="AJ57">
            <v>0.61</v>
          </cell>
          <cell r="AK57">
            <v>0.24</v>
          </cell>
          <cell r="AL57">
            <v>2198</v>
          </cell>
        </row>
        <row r="58">
          <cell r="D58" t="str">
            <v>00010001</v>
          </cell>
          <cell r="E58" t="str">
            <v>王 博</v>
          </cell>
          <cell r="F58">
            <v>1040</v>
          </cell>
          <cell r="G58">
            <v>799</v>
          </cell>
          <cell r="H58">
            <v>2413</v>
          </cell>
          <cell r="I58">
            <v>56</v>
          </cell>
          <cell r="J58">
            <v>0</v>
          </cell>
          <cell r="K58">
            <v>0</v>
          </cell>
          <cell r="L58">
            <v>45.98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4353.9799999999996</v>
          </cell>
          <cell r="U58">
            <v>0</v>
          </cell>
          <cell r="V58">
            <v>7.6</v>
          </cell>
          <cell r="W58">
            <v>135.66</v>
          </cell>
          <cell r="X58">
            <v>18.39</v>
          </cell>
          <cell r="Y58">
            <v>0</v>
          </cell>
          <cell r="Z58">
            <v>5.2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876</v>
          </cell>
          <cell r="AF58">
            <v>0</v>
          </cell>
          <cell r="AG58">
            <v>0</v>
          </cell>
          <cell r="AH58">
            <v>1042.8499999999999</v>
          </cell>
          <cell r="AI58">
            <v>3311.22</v>
          </cell>
          <cell r="AJ58">
            <v>0.09</v>
          </cell>
          <cell r="AK58">
            <v>0.22</v>
          </cell>
          <cell r="AL58">
            <v>3311</v>
          </cell>
        </row>
        <row r="59">
          <cell r="D59" t="str">
            <v>00010188</v>
          </cell>
          <cell r="E59" t="str">
            <v>段亚辉</v>
          </cell>
          <cell r="F59">
            <v>1630</v>
          </cell>
          <cell r="G59">
            <v>1244</v>
          </cell>
          <cell r="H59">
            <v>2961</v>
          </cell>
          <cell r="I59">
            <v>56</v>
          </cell>
          <cell r="J59">
            <v>0</v>
          </cell>
          <cell r="K59">
            <v>0</v>
          </cell>
          <cell r="L59">
            <v>71.849999999999994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5962.85</v>
          </cell>
          <cell r="U59">
            <v>0</v>
          </cell>
          <cell r="V59">
            <v>81.7</v>
          </cell>
          <cell r="W59">
            <v>110.07</v>
          </cell>
          <cell r="X59">
            <v>28.74</v>
          </cell>
          <cell r="Y59">
            <v>34.06</v>
          </cell>
          <cell r="Z59">
            <v>8.15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1227</v>
          </cell>
          <cell r="AF59">
            <v>0</v>
          </cell>
          <cell r="AG59">
            <v>0</v>
          </cell>
          <cell r="AH59">
            <v>1489.72</v>
          </cell>
          <cell r="AI59">
            <v>4473.78</v>
          </cell>
          <cell r="AJ59">
            <v>0.65</v>
          </cell>
          <cell r="AK59">
            <v>0.78</v>
          </cell>
          <cell r="AL59">
            <v>4473</v>
          </cell>
        </row>
        <row r="60">
          <cell r="D60" t="str">
            <v>00010189</v>
          </cell>
          <cell r="E60" t="str">
            <v>梁文泉</v>
          </cell>
          <cell r="F60">
            <v>1180</v>
          </cell>
          <cell r="G60">
            <v>944</v>
          </cell>
          <cell r="H60">
            <v>2468</v>
          </cell>
          <cell r="I60">
            <v>56</v>
          </cell>
          <cell r="J60">
            <v>0</v>
          </cell>
          <cell r="K60">
            <v>0</v>
          </cell>
          <cell r="L60">
            <v>53.1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4701.1000000000004</v>
          </cell>
          <cell r="U60">
            <v>0</v>
          </cell>
          <cell r="V60">
            <v>0</v>
          </cell>
          <cell r="W60">
            <v>0</v>
          </cell>
          <cell r="X60">
            <v>21.24</v>
          </cell>
          <cell r="Y60">
            <v>5.09</v>
          </cell>
          <cell r="Z60">
            <v>5.9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957</v>
          </cell>
          <cell r="AF60">
            <v>0</v>
          </cell>
          <cell r="AG60">
            <v>0</v>
          </cell>
          <cell r="AH60">
            <v>989.23</v>
          </cell>
          <cell r="AI60">
            <v>3712.29</v>
          </cell>
          <cell r="AJ60">
            <v>0.42</v>
          </cell>
          <cell r="AK60">
            <v>0.28999999999999998</v>
          </cell>
          <cell r="AL60">
            <v>3712</v>
          </cell>
        </row>
        <row r="61">
          <cell r="D61" t="str">
            <v>00010327</v>
          </cell>
          <cell r="E61" t="str">
            <v>宋元胜</v>
          </cell>
          <cell r="F61">
            <v>1040</v>
          </cell>
          <cell r="G61">
            <v>869</v>
          </cell>
          <cell r="H61">
            <v>2413</v>
          </cell>
          <cell r="I61">
            <v>56</v>
          </cell>
          <cell r="J61">
            <v>0</v>
          </cell>
          <cell r="K61">
            <v>0</v>
          </cell>
          <cell r="L61">
            <v>47.73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4425.7299999999996</v>
          </cell>
          <cell r="U61">
            <v>0</v>
          </cell>
          <cell r="V61">
            <v>114</v>
          </cell>
          <cell r="W61">
            <v>19.63</v>
          </cell>
          <cell r="X61">
            <v>19.09</v>
          </cell>
          <cell r="Y61">
            <v>0</v>
          </cell>
          <cell r="Z61">
            <v>5.2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894</v>
          </cell>
          <cell r="AF61">
            <v>0</v>
          </cell>
          <cell r="AG61">
            <v>0</v>
          </cell>
          <cell r="AH61">
            <v>1051.92</v>
          </cell>
          <cell r="AI61">
            <v>3374.1</v>
          </cell>
          <cell r="AJ61">
            <v>0.28999999999999998</v>
          </cell>
          <cell r="AK61">
            <v>0.1</v>
          </cell>
          <cell r="AL61">
            <v>3374</v>
          </cell>
        </row>
        <row r="62">
          <cell r="D62" t="str">
            <v>00010471</v>
          </cell>
          <cell r="E62" t="str">
            <v>周龙才</v>
          </cell>
          <cell r="F62">
            <v>1040</v>
          </cell>
          <cell r="G62">
            <v>613</v>
          </cell>
          <cell r="H62">
            <v>2413</v>
          </cell>
          <cell r="I62">
            <v>56</v>
          </cell>
          <cell r="J62">
            <v>0</v>
          </cell>
          <cell r="K62">
            <v>0</v>
          </cell>
          <cell r="L62">
            <v>41.33</v>
          </cell>
          <cell r="M62">
            <v>0</v>
          </cell>
          <cell r="N62">
            <v>0</v>
          </cell>
          <cell r="O62">
            <v>0</v>
          </cell>
          <cell r="P62">
            <v>5</v>
          </cell>
          <cell r="Q62">
            <v>0</v>
          </cell>
          <cell r="R62">
            <v>0</v>
          </cell>
          <cell r="S62">
            <v>0</v>
          </cell>
          <cell r="T62">
            <v>4168.33</v>
          </cell>
          <cell r="U62">
            <v>0</v>
          </cell>
          <cell r="V62">
            <v>649.79999999999995</v>
          </cell>
          <cell r="W62">
            <v>554.54</v>
          </cell>
          <cell r="X62">
            <v>16.53</v>
          </cell>
          <cell r="Y62">
            <v>0</v>
          </cell>
          <cell r="Z62">
            <v>5.2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830</v>
          </cell>
          <cell r="AF62">
            <v>0</v>
          </cell>
          <cell r="AG62">
            <v>0</v>
          </cell>
          <cell r="AH62">
            <v>2056.0700000000002</v>
          </cell>
          <cell r="AI62">
            <v>2112.54</v>
          </cell>
          <cell r="AJ62">
            <v>0.28000000000000003</v>
          </cell>
          <cell r="AK62">
            <v>0.54</v>
          </cell>
          <cell r="AL62">
            <v>2112</v>
          </cell>
        </row>
        <row r="63">
          <cell r="D63" t="str">
            <v>00010475</v>
          </cell>
          <cell r="E63" t="str">
            <v>刘德祥</v>
          </cell>
          <cell r="F63">
            <v>1180</v>
          </cell>
          <cell r="G63">
            <v>904</v>
          </cell>
          <cell r="H63">
            <v>2468</v>
          </cell>
          <cell r="I63">
            <v>56</v>
          </cell>
          <cell r="J63">
            <v>0</v>
          </cell>
          <cell r="K63">
            <v>0</v>
          </cell>
          <cell r="L63">
            <v>52.1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4660.1000000000004</v>
          </cell>
          <cell r="U63">
            <v>0</v>
          </cell>
          <cell r="V63">
            <v>0</v>
          </cell>
          <cell r="W63">
            <v>0</v>
          </cell>
          <cell r="X63">
            <v>20.84</v>
          </cell>
          <cell r="Y63">
            <v>4.2</v>
          </cell>
          <cell r="Z63">
            <v>5.9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947</v>
          </cell>
          <cell r="AF63">
            <v>0</v>
          </cell>
          <cell r="AG63">
            <v>0</v>
          </cell>
          <cell r="AH63">
            <v>977.94</v>
          </cell>
          <cell r="AI63">
            <v>3682.55</v>
          </cell>
          <cell r="AJ63">
            <v>0.39</v>
          </cell>
          <cell r="AK63">
            <v>0.55000000000000004</v>
          </cell>
          <cell r="AL63">
            <v>3682</v>
          </cell>
        </row>
        <row r="64">
          <cell r="D64" t="str">
            <v>00010483</v>
          </cell>
          <cell r="E64" t="str">
            <v>冯卫民</v>
          </cell>
          <cell r="F64">
            <v>1420</v>
          </cell>
          <cell r="G64">
            <v>1154</v>
          </cell>
          <cell r="H64">
            <v>2779</v>
          </cell>
          <cell r="I64">
            <v>56</v>
          </cell>
          <cell r="J64">
            <v>0</v>
          </cell>
          <cell r="K64">
            <v>0</v>
          </cell>
          <cell r="L64">
            <v>64.349999999999994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5473.35</v>
          </cell>
          <cell r="U64">
            <v>0</v>
          </cell>
          <cell r="V64">
            <v>62.7</v>
          </cell>
          <cell r="W64">
            <v>0</v>
          </cell>
          <cell r="X64">
            <v>25.74</v>
          </cell>
          <cell r="Y64">
            <v>23.05</v>
          </cell>
          <cell r="Z64">
            <v>7.1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1115</v>
          </cell>
          <cell r="AF64">
            <v>0</v>
          </cell>
          <cell r="AG64">
            <v>0</v>
          </cell>
          <cell r="AH64">
            <v>1233.5899999999999</v>
          </cell>
          <cell r="AI64">
            <v>4240.7</v>
          </cell>
          <cell r="AJ64">
            <v>0.94</v>
          </cell>
          <cell r="AK64">
            <v>0.7</v>
          </cell>
          <cell r="AL64">
            <v>4240</v>
          </cell>
        </row>
        <row r="65">
          <cell r="D65" t="str">
            <v>00010485</v>
          </cell>
          <cell r="E65" t="str">
            <v>韩向远</v>
          </cell>
          <cell r="F65">
            <v>730</v>
          </cell>
          <cell r="G65">
            <v>767</v>
          </cell>
          <cell r="H65">
            <v>2102</v>
          </cell>
          <cell r="I65">
            <v>56</v>
          </cell>
          <cell r="J65">
            <v>0</v>
          </cell>
          <cell r="K65">
            <v>0</v>
          </cell>
          <cell r="L65">
            <v>37.43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3692.43</v>
          </cell>
          <cell r="U65">
            <v>0</v>
          </cell>
          <cell r="V65">
            <v>446.5</v>
          </cell>
          <cell r="W65">
            <v>129.71</v>
          </cell>
          <cell r="X65">
            <v>14.97</v>
          </cell>
          <cell r="Y65">
            <v>0</v>
          </cell>
          <cell r="Z65">
            <v>3.65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739</v>
          </cell>
          <cell r="AF65">
            <v>0</v>
          </cell>
          <cell r="AG65">
            <v>0</v>
          </cell>
          <cell r="AH65">
            <v>1333.83</v>
          </cell>
          <cell r="AI65">
            <v>2358.87</v>
          </cell>
          <cell r="AJ65">
            <v>0.27</v>
          </cell>
          <cell r="AK65">
            <v>0.87</v>
          </cell>
          <cell r="AL65">
            <v>2358</v>
          </cell>
        </row>
        <row r="66">
          <cell r="D66" t="str">
            <v>00010682</v>
          </cell>
          <cell r="E66" t="str">
            <v>郭生练</v>
          </cell>
          <cell r="F66">
            <v>1900</v>
          </cell>
          <cell r="G66">
            <v>1334</v>
          </cell>
          <cell r="H66">
            <v>3108</v>
          </cell>
          <cell r="I66">
            <v>56</v>
          </cell>
          <cell r="J66">
            <v>0</v>
          </cell>
          <cell r="K66">
            <v>0</v>
          </cell>
          <cell r="L66">
            <v>80.849999999999994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6478.85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6478.85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6478.85</v>
          </cell>
          <cell r="AI66">
            <v>0.6</v>
          </cell>
          <cell r="AJ66">
            <v>0.6</v>
          </cell>
          <cell r="AK66">
            <v>0.6</v>
          </cell>
          <cell r="AL66">
            <v>0</v>
          </cell>
        </row>
        <row r="67">
          <cell r="D67" t="str">
            <v>00010871</v>
          </cell>
          <cell r="E67" t="str">
            <v>俞兆旺</v>
          </cell>
          <cell r="F67">
            <v>1045</v>
          </cell>
          <cell r="G67">
            <v>984</v>
          </cell>
          <cell r="H67">
            <v>2779</v>
          </cell>
          <cell r="I67">
            <v>56</v>
          </cell>
          <cell r="J67">
            <v>0</v>
          </cell>
          <cell r="K67">
            <v>0</v>
          </cell>
          <cell r="L67">
            <v>60.9</v>
          </cell>
          <cell r="M67">
            <v>0</v>
          </cell>
          <cell r="N67">
            <v>200</v>
          </cell>
          <cell r="O67">
            <v>407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5531.9</v>
          </cell>
          <cell r="U67">
            <v>0</v>
          </cell>
          <cell r="V67">
            <v>100.7</v>
          </cell>
          <cell r="W67">
            <v>0</v>
          </cell>
          <cell r="X67">
            <v>20.29</v>
          </cell>
          <cell r="Y67">
            <v>26.09</v>
          </cell>
          <cell r="Z67">
            <v>5.23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1081</v>
          </cell>
          <cell r="AF67">
            <v>0</v>
          </cell>
          <cell r="AG67">
            <v>0</v>
          </cell>
          <cell r="AH67">
            <v>1233.31</v>
          </cell>
          <cell r="AI67">
            <v>4298.79</v>
          </cell>
          <cell r="AJ67">
            <v>0.2</v>
          </cell>
          <cell r="AK67">
            <v>0.79</v>
          </cell>
          <cell r="AL67">
            <v>4298</v>
          </cell>
        </row>
        <row r="68">
          <cell r="D68" t="str">
            <v>00011180</v>
          </cell>
          <cell r="E68" t="str">
            <v>周创兵</v>
          </cell>
          <cell r="F68">
            <v>1900</v>
          </cell>
          <cell r="G68">
            <v>1199</v>
          </cell>
          <cell r="H68">
            <v>3108</v>
          </cell>
          <cell r="I68">
            <v>56</v>
          </cell>
          <cell r="J68">
            <v>0</v>
          </cell>
          <cell r="K68">
            <v>0</v>
          </cell>
          <cell r="L68">
            <v>77.48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6340.48</v>
          </cell>
          <cell r="U68">
            <v>0</v>
          </cell>
          <cell r="V68">
            <v>0</v>
          </cell>
          <cell r="W68">
            <v>0</v>
          </cell>
          <cell r="X68">
            <v>30.99</v>
          </cell>
          <cell r="Y68">
            <v>42.75</v>
          </cell>
          <cell r="Z68">
            <v>9.5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1307</v>
          </cell>
          <cell r="AF68">
            <v>0</v>
          </cell>
          <cell r="AG68">
            <v>0</v>
          </cell>
          <cell r="AH68">
            <v>1390.24</v>
          </cell>
          <cell r="AI68">
            <v>4951.0200000000004</v>
          </cell>
          <cell r="AJ68">
            <v>0.78</v>
          </cell>
          <cell r="AK68">
            <v>0.02</v>
          </cell>
          <cell r="AL68">
            <v>4951</v>
          </cell>
        </row>
        <row r="69">
          <cell r="D69" t="str">
            <v>00011186</v>
          </cell>
          <cell r="E69" t="str">
            <v>陆 丹</v>
          </cell>
          <cell r="F69">
            <v>730</v>
          </cell>
          <cell r="G69">
            <v>613</v>
          </cell>
          <cell r="H69">
            <v>2102</v>
          </cell>
          <cell r="I69">
            <v>56</v>
          </cell>
          <cell r="J69">
            <v>0</v>
          </cell>
          <cell r="K69">
            <v>0</v>
          </cell>
          <cell r="L69">
            <v>33.58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3534.58</v>
          </cell>
          <cell r="U69">
            <v>0</v>
          </cell>
          <cell r="V69">
            <v>0</v>
          </cell>
          <cell r="W69">
            <v>0</v>
          </cell>
          <cell r="X69">
            <v>13.43</v>
          </cell>
          <cell r="Y69">
            <v>0</v>
          </cell>
          <cell r="Z69">
            <v>3.65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701</v>
          </cell>
          <cell r="AF69">
            <v>0</v>
          </cell>
          <cell r="AG69">
            <v>0</v>
          </cell>
          <cell r="AH69">
            <v>718.08</v>
          </cell>
          <cell r="AI69">
            <v>2817.07</v>
          </cell>
          <cell r="AJ69">
            <v>0.56999999999999995</v>
          </cell>
          <cell r="AK69">
            <v>7.0000000000000007E-2</v>
          </cell>
          <cell r="AL69">
            <v>2817</v>
          </cell>
        </row>
        <row r="70">
          <cell r="D70" t="str">
            <v>00011202</v>
          </cell>
          <cell r="E70" t="str">
            <v>舒卫萍</v>
          </cell>
          <cell r="F70">
            <v>730</v>
          </cell>
          <cell r="G70">
            <v>499</v>
          </cell>
          <cell r="H70">
            <v>2102</v>
          </cell>
          <cell r="I70">
            <v>56</v>
          </cell>
          <cell r="J70">
            <v>20</v>
          </cell>
          <cell r="K70">
            <v>0</v>
          </cell>
          <cell r="L70">
            <v>30.73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Q70">
            <v>0</v>
          </cell>
          <cell r="R70">
            <v>0</v>
          </cell>
          <cell r="S70">
            <v>0</v>
          </cell>
          <cell r="T70">
            <v>3442.73</v>
          </cell>
          <cell r="U70">
            <v>0</v>
          </cell>
          <cell r="V70">
            <v>0</v>
          </cell>
          <cell r="W70">
            <v>0</v>
          </cell>
          <cell r="X70">
            <v>12.29</v>
          </cell>
          <cell r="Y70">
            <v>0</v>
          </cell>
          <cell r="Z70">
            <v>3.65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672</v>
          </cell>
          <cell r="AF70">
            <v>0</v>
          </cell>
          <cell r="AG70">
            <v>0</v>
          </cell>
          <cell r="AH70">
            <v>687.94</v>
          </cell>
          <cell r="AI70">
            <v>2754.85</v>
          </cell>
          <cell r="AJ70">
            <v>0.06</v>
          </cell>
          <cell r="AK70">
            <v>0.85</v>
          </cell>
          <cell r="AL70">
            <v>2754</v>
          </cell>
        </row>
        <row r="71">
          <cell r="D71" t="str">
            <v>00011203</v>
          </cell>
          <cell r="E71" t="str">
            <v>胡承胜</v>
          </cell>
          <cell r="F71">
            <v>1040</v>
          </cell>
          <cell r="G71">
            <v>673</v>
          </cell>
          <cell r="H71">
            <v>2413</v>
          </cell>
          <cell r="I71">
            <v>56</v>
          </cell>
          <cell r="J71">
            <v>0</v>
          </cell>
          <cell r="K71">
            <v>0</v>
          </cell>
          <cell r="L71">
            <v>42.83</v>
          </cell>
          <cell r="M71">
            <v>0</v>
          </cell>
          <cell r="N71">
            <v>0</v>
          </cell>
          <cell r="O71">
            <v>0</v>
          </cell>
          <cell r="P71">
            <v>5</v>
          </cell>
          <cell r="Q71">
            <v>0</v>
          </cell>
          <cell r="R71">
            <v>0</v>
          </cell>
          <cell r="S71">
            <v>0</v>
          </cell>
          <cell r="T71">
            <v>4229.83</v>
          </cell>
          <cell r="U71">
            <v>0</v>
          </cell>
          <cell r="V71">
            <v>74.099999999999994</v>
          </cell>
          <cell r="W71">
            <v>9.52</v>
          </cell>
          <cell r="X71">
            <v>17.13</v>
          </cell>
          <cell r="Y71">
            <v>0</v>
          </cell>
          <cell r="Z71">
            <v>5.2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845</v>
          </cell>
          <cell r="AF71">
            <v>0</v>
          </cell>
          <cell r="AG71">
            <v>0</v>
          </cell>
          <cell r="AH71">
            <v>950.95</v>
          </cell>
          <cell r="AI71">
            <v>3279.79</v>
          </cell>
          <cell r="AJ71">
            <v>0.91</v>
          </cell>
          <cell r="AK71">
            <v>0.79</v>
          </cell>
          <cell r="AL71">
            <v>3279</v>
          </cell>
        </row>
        <row r="72">
          <cell r="D72" t="str">
            <v>00011205</v>
          </cell>
          <cell r="E72" t="str">
            <v>徐占国</v>
          </cell>
          <cell r="F72">
            <v>930</v>
          </cell>
          <cell r="G72">
            <v>583</v>
          </cell>
          <cell r="H72">
            <v>2376</v>
          </cell>
          <cell r="I72">
            <v>56</v>
          </cell>
          <cell r="J72">
            <v>0</v>
          </cell>
          <cell r="K72">
            <v>0</v>
          </cell>
          <cell r="L72">
            <v>37.83</v>
          </cell>
          <cell r="M72">
            <v>0</v>
          </cell>
          <cell r="N72">
            <v>0</v>
          </cell>
          <cell r="O72">
            <v>0</v>
          </cell>
          <cell r="P72">
            <v>5</v>
          </cell>
          <cell r="Q72">
            <v>0</v>
          </cell>
          <cell r="R72">
            <v>0</v>
          </cell>
          <cell r="S72">
            <v>0</v>
          </cell>
          <cell r="T72">
            <v>3987.83</v>
          </cell>
          <cell r="U72">
            <v>0</v>
          </cell>
          <cell r="V72">
            <v>0</v>
          </cell>
          <cell r="W72">
            <v>0</v>
          </cell>
          <cell r="X72">
            <v>15.13</v>
          </cell>
          <cell r="Y72">
            <v>0</v>
          </cell>
          <cell r="Z72">
            <v>4.6500000000000004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789</v>
          </cell>
          <cell r="AF72">
            <v>0</v>
          </cell>
          <cell r="AG72">
            <v>0</v>
          </cell>
          <cell r="AH72">
            <v>808.78</v>
          </cell>
          <cell r="AI72">
            <v>3179.39</v>
          </cell>
          <cell r="AJ72">
            <v>0.34</v>
          </cell>
          <cell r="AK72">
            <v>0.39</v>
          </cell>
          <cell r="AL72">
            <v>3179</v>
          </cell>
        </row>
        <row r="73">
          <cell r="D73" t="str">
            <v>00011207</v>
          </cell>
          <cell r="E73" t="str">
            <v>关良宝</v>
          </cell>
          <cell r="F73">
            <v>1040</v>
          </cell>
          <cell r="G73">
            <v>799</v>
          </cell>
          <cell r="H73">
            <v>2413</v>
          </cell>
          <cell r="I73">
            <v>56</v>
          </cell>
          <cell r="J73">
            <v>0</v>
          </cell>
          <cell r="K73">
            <v>0</v>
          </cell>
          <cell r="L73">
            <v>45.98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4353.9799999999996</v>
          </cell>
          <cell r="U73">
            <v>0</v>
          </cell>
          <cell r="V73">
            <v>19</v>
          </cell>
          <cell r="W73">
            <v>0</v>
          </cell>
          <cell r="X73">
            <v>18.39</v>
          </cell>
          <cell r="Y73">
            <v>0</v>
          </cell>
          <cell r="Z73">
            <v>5.2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876</v>
          </cell>
          <cell r="AF73">
            <v>0</v>
          </cell>
          <cell r="AG73">
            <v>0</v>
          </cell>
          <cell r="AH73">
            <v>918.59</v>
          </cell>
          <cell r="AI73">
            <v>3435.76</v>
          </cell>
          <cell r="AJ73">
            <v>0.37</v>
          </cell>
          <cell r="AK73">
            <v>0.76</v>
          </cell>
          <cell r="AL73">
            <v>3435</v>
          </cell>
        </row>
        <row r="74">
          <cell r="D74" t="str">
            <v>00011209</v>
          </cell>
          <cell r="E74" t="str">
            <v>孔祥元</v>
          </cell>
          <cell r="F74">
            <v>1040</v>
          </cell>
          <cell r="G74">
            <v>799</v>
          </cell>
          <cell r="H74">
            <v>2413</v>
          </cell>
          <cell r="I74">
            <v>56</v>
          </cell>
          <cell r="J74">
            <v>0</v>
          </cell>
          <cell r="K74">
            <v>0</v>
          </cell>
          <cell r="L74">
            <v>45.98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4353.9799999999996</v>
          </cell>
          <cell r="U74">
            <v>0</v>
          </cell>
          <cell r="V74">
            <v>0</v>
          </cell>
          <cell r="W74">
            <v>0</v>
          </cell>
          <cell r="X74">
            <v>18.39</v>
          </cell>
          <cell r="Y74">
            <v>0</v>
          </cell>
          <cell r="Z74">
            <v>5.2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876</v>
          </cell>
          <cell r="AF74">
            <v>0</v>
          </cell>
          <cell r="AG74">
            <v>0</v>
          </cell>
          <cell r="AH74">
            <v>899.59</v>
          </cell>
          <cell r="AI74">
            <v>3455.29</v>
          </cell>
          <cell r="AJ74">
            <v>0.9</v>
          </cell>
          <cell r="AK74">
            <v>0.28999999999999998</v>
          </cell>
          <cell r="AL74">
            <v>3455</v>
          </cell>
        </row>
        <row r="75">
          <cell r="D75" t="str">
            <v>00011269</v>
          </cell>
          <cell r="E75" t="str">
            <v>王长德</v>
          </cell>
          <cell r="F75">
            <v>1900</v>
          </cell>
          <cell r="G75">
            <v>1785</v>
          </cell>
          <cell r="H75">
            <v>3108</v>
          </cell>
          <cell r="I75">
            <v>56</v>
          </cell>
          <cell r="J75">
            <v>0</v>
          </cell>
          <cell r="K75">
            <v>0</v>
          </cell>
          <cell r="L75">
            <v>92.13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6941.13</v>
          </cell>
          <cell r="U75">
            <v>0</v>
          </cell>
          <cell r="V75">
            <v>279.3</v>
          </cell>
          <cell r="W75">
            <v>110.67</v>
          </cell>
          <cell r="X75">
            <v>36.85</v>
          </cell>
          <cell r="Y75">
            <v>0</v>
          </cell>
          <cell r="Z75">
            <v>9.5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1369</v>
          </cell>
          <cell r="AF75">
            <v>0</v>
          </cell>
          <cell r="AG75">
            <v>0</v>
          </cell>
          <cell r="AH75">
            <v>1805.32</v>
          </cell>
          <cell r="AI75">
            <v>5136.49</v>
          </cell>
          <cell r="AJ75">
            <v>0.68</v>
          </cell>
          <cell r="AK75">
            <v>0.49</v>
          </cell>
          <cell r="AL75">
            <v>5136</v>
          </cell>
        </row>
        <row r="76">
          <cell r="D76" t="str">
            <v>00011432</v>
          </cell>
          <cell r="E76" t="str">
            <v>楚湘林</v>
          </cell>
          <cell r="F76">
            <v>730</v>
          </cell>
          <cell r="G76">
            <v>869</v>
          </cell>
          <cell r="H76">
            <v>2102</v>
          </cell>
          <cell r="I76">
            <v>56</v>
          </cell>
          <cell r="J76">
            <v>0</v>
          </cell>
          <cell r="K76">
            <v>0</v>
          </cell>
          <cell r="L76">
            <v>39.979999999999997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3796.98</v>
          </cell>
          <cell r="U76">
            <v>0</v>
          </cell>
          <cell r="V76">
            <v>133</v>
          </cell>
          <cell r="W76">
            <v>38.67</v>
          </cell>
          <cell r="X76">
            <v>15.99</v>
          </cell>
          <cell r="Y76">
            <v>0</v>
          </cell>
          <cell r="Z76">
            <v>3.65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765</v>
          </cell>
          <cell r="AF76">
            <v>0</v>
          </cell>
          <cell r="AG76">
            <v>0</v>
          </cell>
          <cell r="AH76">
            <v>956.31</v>
          </cell>
          <cell r="AI76">
            <v>2841</v>
          </cell>
          <cell r="AJ76">
            <v>0.33</v>
          </cell>
          <cell r="AK76">
            <v>0</v>
          </cell>
          <cell r="AL76">
            <v>2841</v>
          </cell>
        </row>
        <row r="77">
          <cell r="D77" t="str">
            <v>00011433</v>
          </cell>
          <cell r="E77" t="str">
            <v>雷 艳</v>
          </cell>
          <cell r="F77">
            <v>1040</v>
          </cell>
          <cell r="G77">
            <v>834</v>
          </cell>
          <cell r="H77">
            <v>2413</v>
          </cell>
          <cell r="I77">
            <v>56</v>
          </cell>
          <cell r="J77">
            <v>20</v>
          </cell>
          <cell r="K77">
            <v>0</v>
          </cell>
          <cell r="L77">
            <v>46.85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4409.8500000000004</v>
          </cell>
          <cell r="U77">
            <v>0</v>
          </cell>
          <cell r="V77">
            <v>0</v>
          </cell>
          <cell r="W77">
            <v>0</v>
          </cell>
          <cell r="X77">
            <v>18.739999999999998</v>
          </cell>
          <cell r="Y77">
            <v>0</v>
          </cell>
          <cell r="Z77">
            <v>5.2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885</v>
          </cell>
          <cell r="AF77">
            <v>0</v>
          </cell>
          <cell r="AG77">
            <v>0</v>
          </cell>
          <cell r="AH77">
            <v>908.94</v>
          </cell>
          <cell r="AI77">
            <v>3501.19</v>
          </cell>
          <cell r="AJ77">
            <v>0.28000000000000003</v>
          </cell>
          <cell r="AK77">
            <v>0.19</v>
          </cell>
          <cell r="AL77">
            <v>3501</v>
          </cell>
        </row>
        <row r="78">
          <cell r="D78" t="str">
            <v>00011434</v>
          </cell>
          <cell r="E78" t="str">
            <v>伍鹤皋</v>
          </cell>
          <cell r="F78">
            <v>1630</v>
          </cell>
          <cell r="G78">
            <v>1109</v>
          </cell>
          <cell r="H78">
            <v>2961</v>
          </cell>
          <cell r="I78">
            <v>56</v>
          </cell>
          <cell r="J78">
            <v>0</v>
          </cell>
          <cell r="K78">
            <v>0</v>
          </cell>
          <cell r="L78">
            <v>68.48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5824.48</v>
          </cell>
          <cell r="U78">
            <v>0</v>
          </cell>
          <cell r="V78">
            <v>62.7</v>
          </cell>
          <cell r="W78">
            <v>102.34</v>
          </cell>
          <cell r="X78">
            <v>27.39</v>
          </cell>
          <cell r="Y78">
            <v>31.07</v>
          </cell>
          <cell r="Z78">
            <v>8.15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1193</v>
          </cell>
          <cell r="AF78">
            <v>0</v>
          </cell>
          <cell r="AG78">
            <v>0</v>
          </cell>
          <cell r="AH78">
            <v>1424.65</v>
          </cell>
          <cell r="AI78">
            <v>4400.76</v>
          </cell>
          <cell r="AJ78">
            <v>0.93</v>
          </cell>
          <cell r="AK78">
            <v>0.76</v>
          </cell>
          <cell r="AL78">
            <v>4400</v>
          </cell>
        </row>
        <row r="79">
          <cell r="D79" t="str">
            <v>00011435</v>
          </cell>
          <cell r="E79" t="str">
            <v>杨建东</v>
          </cell>
          <cell r="F79">
            <v>1900</v>
          </cell>
          <cell r="G79">
            <v>1384</v>
          </cell>
          <cell r="H79">
            <v>3108</v>
          </cell>
          <cell r="I79">
            <v>56</v>
          </cell>
          <cell r="J79">
            <v>0</v>
          </cell>
          <cell r="K79">
            <v>0</v>
          </cell>
          <cell r="L79">
            <v>82.1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6530.1</v>
          </cell>
          <cell r="U79">
            <v>0</v>
          </cell>
          <cell r="V79">
            <v>0</v>
          </cell>
          <cell r="W79">
            <v>0</v>
          </cell>
          <cell r="X79">
            <v>32.840000000000003</v>
          </cell>
          <cell r="Y79">
            <v>51.12</v>
          </cell>
          <cell r="Z79">
            <v>9.5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1354</v>
          </cell>
          <cell r="AF79">
            <v>0</v>
          </cell>
          <cell r="AG79">
            <v>0</v>
          </cell>
          <cell r="AH79">
            <v>1447.46</v>
          </cell>
          <cell r="AI79">
            <v>5082.8599999999997</v>
          </cell>
          <cell r="AJ79">
            <v>0.22</v>
          </cell>
          <cell r="AK79">
            <v>0.86</v>
          </cell>
          <cell r="AL79">
            <v>5082</v>
          </cell>
        </row>
        <row r="80">
          <cell r="D80" t="str">
            <v>00011436</v>
          </cell>
          <cell r="E80" t="str">
            <v>肖 明SD</v>
          </cell>
          <cell r="F80">
            <v>1900</v>
          </cell>
          <cell r="G80">
            <v>1289</v>
          </cell>
          <cell r="H80">
            <v>3108</v>
          </cell>
          <cell r="I80">
            <v>56</v>
          </cell>
          <cell r="J80">
            <v>0</v>
          </cell>
          <cell r="K80">
            <v>0</v>
          </cell>
          <cell r="L80">
            <v>79.73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6432.73</v>
          </cell>
          <cell r="U80">
            <v>0</v>
          </cell>
          <cell r="V80">
            <v>0</v>
          </cell>
          <cell r="W80">
            <v>0</v>
          </cell>
          <cell r="X80">
            <v>31.89</v>
          </cell>
          <cell r="Y80">
            <v>44.73</v>
          </cell>
          <cell r="Z80">
            <v>9.5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1330</v>
          </cell>
          <cell r="AF80">
            <v>0</v>
          </cell>
          <cell r="AG80">
            <v>0</v>
          </cell>
          <cell r="AH80">
            <v>1416.12</v>
          </cell>
          <cell r="AI80">
            <v>5017.12</v>
          </cell>
          <cell r="AJ80">
            <v>0.51</v>
          </cell>
          <cell r="AK80">
            <v>0.12</v>
          </cell>
          <cell r="AL80">
            <v>5017</v>
          </cell>
        </row>
        <row r="81">
          <cell r="D81" t="str">
            <v>00011437</v>
          </cell>
          <cell r="E81" t="str">
            <v>赖 旭</v>
          </cell>
          <cell r="F81">
            <v>1420</v>
          </cell>
          <cell r="G81">
            <v>944</v>
          </cell>
          <cell r="H81">
            <v>2779</v>
          </cell>
          <cell r="I81">
            <v>56</v>
          </cell>
          <cell r="J81">
            <v>0</v>
          </cell>
          <cell r="K81">
            <v>0</v>
          </cell>
          <cell r="L81">
            <v>59.1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5258.1</v>
          </cell>
          <cell r="U81">
            <v>0</v>
          </cell>
          <cell r="V81">
            <v>298.3</v>
          </cell>
          <cell r="W81">
            <v>95.8</v>
          </cell>
          <cell r="X81">
            <v>23.64</v>
          </cell>
          <cell r="Y81">
            <v>18.37</v>
          </cell>
          <cell r="Z81">
            <v>7.1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1063</v>
          </cell>
          <cell r="AF81">
            <v>0</v>
          </cell>
          <cell r="AG81">
            <v>0</v>
          </cell>
          <cell r="AH81">
            <v>1506.21</v>
          </cell>
          <cell r="AI81">
            <v>3751.97</v>
          </cell>
          <cell r="AJ81">
            <v>0.08</v>
          </cell>
          <cell r="AK81">
            <v>0.97</v>
          </cell>
          <cell r="AL81">
            <v>3751</v>
          </cell>
        </row>
        <row r="82">
          <cell r="D82" t="str">
            <v>00011438</v>
          </cell>
          <cell r="E82" t="str">
            <v>程永光</v>
          </cell>
          <cell r="F82">
            <v>1420</v>
          </cell>
          <cell r="G82">
            <v>703</v>
          </cell>
          <cell r="H82">
            <v>2779</v>
          </cell>
          <cell r="I82">
            <v>56</v>
          </cell>
          <cell r="J82">
            <v>0</v>
          </cell>
          <cell r="K82">
            <v>0</v>
          </cell>
          <cell r="L82">
            <v>53.08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5011.08</v>
          </cell>
          <cell r="U82">
            <v>0</v>
          </cell>
          <cell r="V82">
            <v>58.9</v>
          </cell>
          <cell r="W82">
            <v>69.61</v>
          </cell>
          <cell r="X82">
            <v>21.23</v>
          </cell>
          <cell r="Y82">
            <v>13.04</v>
          </cell>
          <cell r="Z82">
            <v>7.1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1002</v>
          </cell>
          <cell r="AF82">
            <v>0</v>
          </cell>
          <cell r="AG82">
            <v>0</v>
          </cell>
          <cell r="AH82">
            <v>1171.8800000000001</v>
          </cell>
          <cell r="AI82">
            <v>3839.56</v>
          </cell>
          <cell r="AJ82">
            <v>0.36</v>
          </cell>
          <cell r="AK82">
            <v>0.56000000000000005</v>
          </cell>
          <cell r="AL82">
            <v>3839</v>
          </cell>
        </row>
        <row r="83">
          <cell r="D83" t="str">
            <v>00011441</v>
          </cell>
          <cell r="E83" t="str">
            <v>李进平</v>
          </cell>
          <cell r="F83">
            <v>930</v>
          </cell>
          <cell r="G83">
            <v>471</v>
          </cell>
          <cell r="H83">
            <v>2376</v>
          </cell>
          <cell r="I83">
            <v>56</v>
          </cell>
          <cell r="J83">
            <v>0</v>
          </cell>
          <cell r="K83">
            <v>0</v>
          </cell>
          <cell r="L83">
            <v>35.03</v>
          </cell>
          <cell r="M83">
            <v>0</v>
          </cell>
          <cell r="N83">
            <v>0</v>
          </cell>
          <cell r="O83">
            <v>0</v>
          </cell>
          <cell r="P83">
            <v>5</v>
          </cell>
          <cell r="Q83">
            <v>0</v>
          </cell>
          <cell r="R83">
            <v>0</v>
          </cell>
          <cell r="S83">
            <v>0</v>
          </cell>
          <cell r="T83">
            <v>3873.03</v>
          </cell>
          <cell r="U83">
            <v>0</v>
          </cell>
          <cell r="V83">
            <v>19</v>
          </cell>
          <cell r="W83">
            <v>40.46</v>
          </cell>
          <cell r="X83">
            <v>14.01</v>
          </cell>
          <cell r="Y83">
            <v>0</v>
          </cell>
          <cell r="Z83">
            <v>4.6500000000000004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761</v>
          </cell>
          <cell r="AF83">
            <v>0</v>
          </cell>
          <cell r="AG83">
            <v>0</v>
          </cell>
          <cell r="AH83">
            <v>839.12</v>
          </cell>
          <cell r="AI83">
            <v>3034.13</v>
          </cell>
          <cell r="AJ83">
            <v>0.22</v>
          </cell>
          <cell r="AK83">
            <v>0.13</v>
          </cell>
          <cell r="AL83">
            <v>3034</v>
          </cell>
        </row>
        <row r="84">
          <cell r="D84" t="str">
            <v>00011442</v>
          </cell>
          <cell r="E84" t="str">
            <v>袁汉芳</v>
          </cell>
          <cell r="F84">
            <v>615</v>
          </cell>
          <cell r="G84">
            <v>455</v>
          </cell>
          <cell r="H84">
            <v>1919</v>
          </cell>
          <cell r="I84">
            <v>56</v>
          </cell>
          <cell r="J84">
            <v>20</v>
          </cell>
          <cell r="K84">
            <v>0</v>
          </cell>
          <cell r="L84">
            <v>26.75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3091.75</v>
          </cell>
          <cell r="U84">
            <v>0</v>
          </cell>
          <cell r="V84">
            <v>0</v>
          </cell>
          <cell r="W84">
            <v>0</v>
          </cell>
          <cell r="X84">
            <v>10.7</v>
          </cell>
          <cell r="Y84">
            <v>0</v>
          </cell>
          <cell r="Z84">
            <v>3.08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599</v>
          </cell>
          <cell r="AF84">
            <v>0</v>
          </cell>
          <cell r="AG84">
            <v>0</v>
          </cell>
          <cell r="AH84">
            <v>612.78</v>
          </cell>
          <cell r="AI84">
            <v>2479.75</v>
          </cell>
          <cell r="AJ84">
            <v>0.78</v>
          </cell>
          <cell r="AK84">
            <v>0.75</v>
          </cell>
          <cell r="AL84">
            <v>2479</v>
          </cell>
        </row>
        <row r="85">
          <cell r="D85" t="str">
            <v>00011443</v>
          </cell>
          <cell r="E85" t="str">
            <v>曾令刚</v>
          </cell>
          <cell r="F85">
            <v>780</v>
          </cell>
          <cell r="G85">
            <v>904</v>
          </cell>
          <cell r="H85">
            <v>2139</v>
          </cell>
          <cell r="I85">
            <v>56</v>
          </cell>
          <cell r="J85">
            <v>0</v>
          </cell>
          <cell r="K85">
            <v>0</v>
          </cell>
          <cell r="L85">
            <v>42.1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3921.1</v>
          </cell>
          <cell r="U85">
            <v>0</v>
          </cell>
          <cell r="V85">
            <v>205.2</v>
          </cell>
          <cell r="W85">
            <v>179.69</v>
          </cell>
          <cell r="X85">
            <v>16.84</v>
          </cell>
          <cell r="Y85">
            <v>0</v>
          </cell>
          <cell r="Z85">
            <v>3.9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792</v>
          </cell>
          <cell r="AF85">
            <v>0</v>
          </cell>
          <cell r="AG85">
            <v>0</v>
          </cell>
          <cell r="AH85">
            <v>1197.6300000000001</v>
          </cell>
          <cell r="AI85">
            <v>2723.64</v>
          </cell>
          <cell r="AJ85">
            <v>0.17</v>
          </cell>
          <cell r="AK85">
            <v>0.64</v>
          </cell>
          <cell r="AL85">
            <v>2723</v>
          </cell>
        </row>
        <row r="86">
          <cell r="D86" t="str">
            <v>00011451</v>
          </cell>
          <cell r="E86" t="str">
            <v>熊 英</v>
          </cell>
          <cell r="F86">
            <v>720</v>
          </cell>
          <cell r="G86">
            <v>735</v>
          </cell>
          <cell r="H86">
            <v>2139</v>
          </cell>
          <cell r="I86">
            <v>56</v>
          </cell>
          <cell r="J86">
            <v>20</v>
          </cell>
          <cell r="K86">
            <v>0</v>
          </cell>
          <cell r="L86">
            <v>36.380000000000003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3706.38</v>
          </cell>
          <cell r="U86">
            <v>0</v>
          </cell>
          <cell r="V86">
            <v>239.4</v>
          </cell>
          <cell r="W86">
            <v>177.31</v>
          </cell>
          <cell r="X86">
            <v>14.55</v>
          </cell>
          <cell r="Y86">
            <v>0</v>
          </cell>
          <cell r="Z86">
            <v>3.6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735</v>
          </cell>
          <cell r="AF86">
            <v>0</v>
          </cell>
          <cell r="AG86">
            <v>0</v>
          </cell>
          <cell r="AH86">
            <v>1169.8599999999999</v>
          </cell>
          <cell r="AI86">
            <v>2536.83</v>
          </cell>
          <cell r="AJ86">
            <v>0.31</v>
          </cell>
          <cell r="AK86">
            <v>0.83</v>
          </cell>
          <cell r="AL86">
            <v>2536</v>
          </cell>
        </row>
        <row r="87">
          <cell r="D87" t="str">
            <v>00011452</v>
          </cell>
          <cell r="E87" t="str">
            <v>刘 峰</v>
          </cell>
          <cell r="F87">
            <v>850</v>
          </cell>
          <cell r="G87">
            <v>799</v>
          </cell>
          <cell r="H87">
            <v>2413</v>
          </cell>
          <cell r="I87">
            <v>56</v>
          </cell>
          <cell r="J87">
            <v>0</v>
          </cell>
          <cell r="K87">
            <v>0</v>
          </cell>
          <cell r="L87">
            <v>41.98</v>
          </cell>
          <cell r="M87">
            <v>0</v>
          </cell>
          <cell r="N87">
            <v>0</v>
          </cell>
          <cell r="O87">
            <v>30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4189.9799999999996</v>
          </cell>
          <cell r="U87">
            <v>0</v>
          </cell>
          <cell r="V87">
            <v>0</v>
          </cell>
          <cell r="W87">
            <v>65.45</v>
          </cell>
          <cell r="X87">
            <v>16.489999999999998</v>
          </cell>
          <cell r="Y87">
            <v>0</v>
          </cell>
          <cell r="Z87">
            <v>4.25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836</v>
          </cell>
          <cell r="AF87">
            <v>0</v>
          </cell>
          <cell r="AG87">
            <v>0</v>
          </cell>
          <cell r="AH87">
            <v>922.19</v>
          </cell>
          <cell r="AI87">
            <v>3268.68</v>
          </cell>
          <cell r="AJ87">
            <v>0.89</v>
          </cell>
          <cell r="AK87">
            <v>0.68</v>
          </cell>
          <cell r="AL87">
            <v>3268</v>
          </cell>
        </row>
        <row r="88">
          <cell r="D88" t="str">
            <v>00011453</v>
          </cell>
          <cell r="E88" t="str">
            <v>梅俊祥</v>
          </cell>
          <cell r="F88">
            <v>930</v>
          </cell>
          <cell r="G88">
            <v>1109</v>
          </cell>
          <cell r="H88">
            <v>2413</v>
          </cell>
          <cell r="I88">
            <v>56</v>
          </cell>
          <cell r="J88">
            <v>0</v>
          </cell>
          <cell r="K88">
            <v>0</v>
          </cell>
          <cell r="L88">
            <v>50.98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4558.9799999999996</v>
          </cell>
          <cell r="U88">
            <v>0</v>
          </cell>
          <cell r="V88">
            <v>482.6</v>
          </cell>
          <cell r="W88">
            <v>44.63</v>
          </cell>
          <cell r="X88">
            <v>20.39</v>
          </cell>
          <cell r="Y88">
            <v>1.85</v>
          </cell>
          <cell r="Z88">
            <v>4.6500000000000004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926</v>
          </cell>
          <cell r="AF88">
            <v>0</v>
          </cell>
          <cell r="AG88">
            <v>0</v>
          </cell>
          <cell r="AH88">
            <v>1480.12</v>
          </cell>
          <cell r="AI88">
            <v>3079.27</v>
          </cell>
          <cell r="AJ88">
            <v>0.41</v>
          </cell>
          <cell r="AK88">
            <v>0.27</v>
          </cell>
          <cell r="AL88">
            <v>3079</v>
          </cell>
        </row>
        <row r="89">
          <cell r="D89" t="str">
            <v>00011458</v>
          </cell>
          <cell r="E89" t="str">
            <v>曹克桥</v>
          </cell>
          <cell r="F89">
            <v>690</v>
          </cell>
          <cell r="G89">
            <v>707</v>
          </cell>
          <cell r="H89">
            <v>2083</v>
          </cell>
          <cell r="I89">
            <v>56</v>
          </cell>
          <cell r="J89">
            <v>0</v>
          </cell>
          <cell r="K89">
            <v>0</v>
          </cell>
          <cell r="L89">
            <v>34.93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3570.93</v>
          </cell>
          <cell r="U89">
            <v>0</v>
          </cell>
          <cell r="V89">
            <v>499.7</v>
          </cell>
          <cell r="W89">
            <v>88.06</v>
          </cell>
          <cell r="X89">
            <v>13.97</v>
          </cell>
          <cell r="Y89">
            <v>0</v>
          </cell>
          <cell r="Z89">
            <v>3.45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708</v>
          </cell>
          <cell r="AF89">
            <v>0</v>
          </cell>
          <cell r="AG89">
            <v>0</v>
          </cell>
          <cell r="AH89">
            <v>1313.18</v>
          </cell>
          <cell r="AI89">
            <v>2257.86</v>
          </cell>
          <cell r="AJ89">
            <v>0.11</v>
          </cell>
          <cell r="AK89">
            <v>0.86</v>
          </cell>
          <cell r="AL89">
            <v>2257</v>
          </cell>
        </row>
        <row r="90">
          <cell r="D90" t="str">
            <v>00011459</v>
          </cell>
          <cell r="E90" t="str">
            <v>刘永和</v>
          </cell>
          <cell r="F90">
            <v>780</v>
          </cell>
          <cell r="G90">
            <v>767</v>
          </cell>
          <cell r="H90">
            <v>2139</v>
          </cell>
          <cell r="I90">
            <v>56</v>
          </cell>
          <cell r="J90">
            <v>0</v>
          </cell>
          <cell r="K90">
            <v>0</v>
          </cell>
          <cell r="L90">
            <v>38.68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3780.68</v>
          </cell>
          <cell r="U90">
            <v>0</v>
          </cell>
          <cell r="V90">
            <v>317.3</v>
          </cell>
          <cell r="W90">
            <v>0</v>
          </cell>
          <cell r="X90">
            <v>15.47</v>
          </cell>
          <cell r="Y90">
            <v>0</v>
          </cell>
          <cell r="Z90">
            <v>3.9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758</v>
          </cell>
          <cell r="AF90">
            <v>0</v>
          </cell>
          <cell r="AG90">
            <v>0</v>
          </cell>
          <cell r="AH90">
            <v>1094.67</v>
          </cell>
          <cell r="AI90">
            <v>2686.88</v>
          </cell>
          <cell r="AJ90">
            <v>0.87</v>
          </cell>
          <cell r="AK90">
            <v>0.88</v>
          </cell>
          <cell r="AL90">
            <v>2686</v>
          </cell>
        </row>
        <row r="91">
          <cell r="D91" t="str">
            <v>00011463</v>
          </cell>
          <cell r="E91" t="str">
            <v>陈天祥</v>
          </cell>
          <cell r="F91">
            <v>615</v>
          </cell>
          <cell r="G91">
            <v>739</v>
          </cell>
          <cell r="H91">
            <v>1919</v>
          </cell>
          <cell r="I91">
            <v>56</v>
          </cell>
          <cell r="J91">
            <v>0</v>
          </cell>
          <cell r="K91">
            <v>0</v>
          </cell>
          <cell r="L91">
            <v>33.85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3362.85</v>
          </cell>
          <cell r="U91">
            <v>0</v>
          </cell>
          <cell r="V91">
            <v>302.10000000000002</v>
          </cell>
          <cell r="W91">
            <v>0</v>
          </cell>
          <cell r="X91">
            <v>13.54</v>
          </cell>
          <cell r="Y91">
            <v>0</v>
          </cell>
          <cell r="Z91">
            <v>3.08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670</v>
          </cell>
          <cell r="AF91">
            <v>0</v>
          </cell>
          <cell r="AG91">
            <v>0</v>
          </cell>
          <cell r="AH91">
            <v>988.72</v>
          </cell>
          <cell r="AI91">
            <v>2374.42</v>
          </cell>
          <cell r="AJ91">
            <v>0.28999999999999998</v>
          </cell>
          <cell r="AK91">
            <v>0.42</v>
          </cell>
          <cell r="AL91">
            <v>2374</v>
          </cell>
        </row>
        <row r="92">
          <cell r="D92" t="str">
            <v>00011464</v>
          </cell>
          <cell r="E92" t="str">
            <v>魏国强</v>
          </cell>
          <cell r="F92">
            <v>780</v>
          </cell>
          <cell r="G92">
            <v>944</v>
          </cell>
          <cell r="H92">
            <v>2139</v>
          </cell>
          <cell r="I92">
            <v>56</v>
          </cell>
          <cell r="J92">
            <v>0</v>
          </cell>
          <cell r="K92">
            <v>0</v>
          </cell>
          <cell r="L92">
            <v>43.1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3962.1</v>
          </cell>
          <cell r="U92">
            <v>0</v>
          </cell>
          <cell r="V92">
            <v>0</v>
          </cell>
          <cell r="W92">
            <v>0</v>
          </cell>
          <cell r="X92">
            <v>17.239999999999998</v>
          </cell>
          <cell r="Y92">
            <v>0</v>
          </cell>
          <cell r="Z92">
            <v>3.9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802</v>
          </cell>
          <cell r="AF92">
            <v>0</v>
          </cell>
          <cell r="AG92">
            <v>0</v>
          </cell>
          <cell r="AH92">
            <v>823.14</v>
          </cell>
          <cell r="AI92">
            <v>3139.3</v>
          </cell>
          <cell r="AJ92">
            <v>0.34</v>
          </cell>
          <cell r="AK92">
            <v>0.3</v>
          </cell>
          <cell r="AL92">
            <v>3139</v>
          </cell>
        </row>
        <row r="93">
          <cell r="D93" t="str">
            <v>00011466</v>
          </cell>
          <cell r="E93" t="str">
            <v>刘士和</v>
          </cell>
          <cell r="F93">
            <v>1900</v>
          </cell>
          <cell r="G93">
            <v>1334</v>
          </cell>
          <cell r="H93">
            <v>3108</v>
          </cell>
          <cell r="I93">
            <v>56</v>
          </cell>
          <cell r="J93">
            <v>0</v>
          </cell>
          <cell r="K93">
            <v>0</v>
          </cell>
          <cell r="L93">
            <v>80.849999999999994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6478.85</v>
          </cell>
          <cell r="U93">
            <v>0</v>
          </cell>
          <cell r="V93">
            <v>0</v>
          </cell>
          <cell r="W93">
            <v>91.03</v>
          </cell>
          <cell r="X93">
            <v>32.340000000000003</v>
          </cell>
          <cell r="Y93">
            <v>47.47</v>
          </cell>
          <cell r="Z93">
            <v>9.5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1341</v>
          </cell>
          <cell r="AF93">
            <v>0</v>
          </cell>
          <cell r="AG93">
            <v>0</v>
          </cell>
          <cell r="AH93">
            <v>1521.34</v>
          </cell>
          <cell r="AI93">
            <v>4957.57</v>
          </cell>
          <cell r="AJ93">
            <v>0.06</v>
          </cell>
          <cell r="AK93">
            <v>0.56999999999999995</v>
          </cell>
          <cell r="AL93">
            <v>4957</v>
          </cell>
        </row>
        <row r="94">
          <cell r="D94" t="str">
            <v>00011467</v>
          </cell>
          <cell r="E94" t="str">
            <v>陆 晶</v>
          </cell>
          <cell r="F94">
            <v>1040</v>
          </cell>
          <cell r="G94">
            <v>583</v>
          </cell>
          <cell r="H94">
            <v>2413</v>
          </cell>
          <cell r="I94">
            <v>56</v>
          </cell>
          <cell r="J94">
            <v>20</v>
          </cell>
          <cell r="K94">
            <v>0</v>
          </cell>
          <cell r="L94">
            <v>40.58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Q94">
            <v>0</v>
          </cell>
          <cell r="R94">
            <v>0</v>
          </cell>
          <cell r="S94">
            <v>0</v>
          </cell>
          <cell r="T94">
            <v>4157.58</v>
          </cell>
          <cell r="U94">
            <v>0</v>
          </cell>
          <cell r="V94">
            <v>0</v>
          </cell>
          <cell r="W94">
            <v>0</v>
          </cell>
          <cell r="X94">
            <v>16.23</v>
          </cell>
          <cell r="Y94">
            <v>0</v>
          </cell>
          <cell r="Z94">
            <v>5.2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822</v>
          </cell>
          <cell r="AF94">
            <v>0</v>
          </cell>
          <cell r="AG94">
            <v>0</v>
          </cell>
          <cell r="AH94">
            <v>843.43</v>
          </cell>
          <cell r="AI94">
            <v>3314.64</v>
          </cell>
          <cell r="AJ94">
            <v>0.49</v>
          </cell>
          <cell r="AK94">
            <v>0.64</v>
          </cell>
          <cell r="AL94">
            <v>3314</v>
          </cell>
        </row>
        <row r="95">
          <cell r="D95" t="str">
            <v>00011469</v>
          </cell>
          <cell r="E95" t="str">
            <v>朱铁容</v>
          </cell>
          <cell r="F95">
            <v>680</v>
          </cell>
          <cell r="G95">
            <v>735</v>
          </cell>
          <cell r="H95">
            <v>2065</v>
          </cell>
          <cell r="I95">
            <v>56</v>
          </cell>
          <cell r="J95">
            <v>20</v>
          </cell>
          <cell r="K95">
            <v>0</v>
          </cell>
          <cell r="L95">
            <v>35.380000000000003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3591.38</v>
          </cell>
          <cell r="U95">
            <v>35</v>
          </cell>
          <cell r="V95">
            <v>425.6</v>
          </cell>
          <cell r="W95">
            <v>37.479999999999997</v>
          </cell>
          <cell r="X95">
            <v>14.15</v>
          </cell>
          <cell r="Y95">
            <v>0</v>
          </cell>
          <cell r="Z95">
            <v>3.4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713</v>
          </cell>
          <cell r="AF95">
            <v>0</v>
          </cell>
          <cell r="AG95">
            <v>0</v>
          </cell>
          <cell r="AH95">
            <v>1228.6300000000001</v>
          </cell>
          <cell r="AI95">
            <v>2363.1999999999998</v>
          </cell>
          <cell r="AJ95">
            <v>0.45</v>
          </cell>
          <cell r="AK95">
            <v>0.2</v>
          </cell>
          <cell r="AL95">
            <v>2363</v>
          </cell>
        </row>
        <row r="96">
          <cell r="D96" t="str">
            <v>00011475</v>
          </cell>
          <cell r="E96" t="str">
            <v>苏 欣</v>
          </cell>
          <cell r="F96">
            <v>1180</v>
          </cell>
          <cell r="G96">
            <v>1064</v>
          </cell>
          <cell r="H96">
            <v>2468</v>
          </cell>
          <cell r="I96">
            <v>56</v>
          </cell>
          <cell r="J96">
            <v>0</v>
          </cell>
          <cell r="K96">
            <v>0</v>
          </cell>
          <cell r="L96">
            <v>56.1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4824.1000000000004</v>
          </cell>
          <cell r="U96">
            <v>0</v>
          </cell>
          <cell r="V96">
            <v>150.1</v>
          </cell>
          <cell r="W96">
            <v>0</v>
          </cell>
          <cell r="X96">
            <v>22.44</v>
          </cell>
          <cell r="Y96">
            <v>7.76</v>
          </cell>
          <cell r="Z96">
            <v>5.9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987</v>
          </cell>
          <cell r="AF96">
            <v>0</v>
          </cell>
          <cell r="AG96">
            <v>0</v>
          </cell>
          <cell r="AH96">
            <v>1173.2</v>
          </cell>
          <cell r="AI96">
            <v>3651.06</v>
          </cell>
          <cell r="AJ96">
            <v>0.16</v>
          </cell>
          <cell r="AK96">
            <v>0.06</v>
          </cell>
          <cell r="AL96">
            <v>3651</v>
          </cell>
        </row>
        <row r="97">
          <cell r="D97" t="str">
            <v>00011476</v>
          </cell>
          <cell r="E97" t="str">
            <v>刘玉新</v>
          </cell>
          <cell r="F97">
            <v>780</v>
          </cell>
          <cell r="G97">
            <v>673</v>
          </cell>
          <cell r="H97">
            <v>2139</v>
          </cell>
          <cell r="I97">
            <v>56</v>
          </cell>
          <cell r="J97">
            <v>0</v>
          </cell>
          <cell r="K97">
            <v>0</v>
          </cell>
          <cell r="L97">
            <v>36.33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3684.33</v>
          </cell>
          <cell r="U97">
            <v>0</v>
          </cell>
          <cell r="V97">
            <v>0</v>
          </cell>
          <cell r="W97">
            <v>54.74</v>
          </cell>
          <cell r="X97">
            <v>14.53</v>
          </cell>
          <cell r="Y97">
            <v>0</v>
          </cell>
          <cell r="Z97">
            <v>3.9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734</v>
          </cell>
          <cell r="AF97">
            <v>0</v>
          </cell>
          <cell r="AG97">
            <v>0</v>
          </cell>
          <cell r="AH97">
            <v>807.17</v>
          </cell>
          <cell r="AI97">
            <v>2877.63</v>
          </cell>
          <cell r="AJ97">
            <v>0.47</v>
          </cell>
          <cell r="AK97">
            <v>0.63</v>
          </cell>
          <cell r="AL97">
            <v>2877</v>
          </cell>
        </row>
        <row r="98">
          <cell r="D98" t="str">
            <v>00011477</v>
          </cell>
          <cell r="E98" t="str">
            <v>邓念武</v>
          </cell>
          <cell r="F98">
            <v>1040</v>
          </cell>
          <cell r="G98">
            <v>703</v>
          </cell>
          <cell r="H98">
            <v>2413</v>
          </cell>
          <cell r="I98">
            <v>56</v>
          </cell>
          <cell r="J98">
            <v>0</v>
          </cell>
          <cell r="K98">
            <v>0</v>
          </cell>
          <cell r="L98">
            <v>43.58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4255.58</v>
          </cell>
          <cell r="U98">
            <v>0</v>
          </cell>
          <cell r="V98">
            <v>74.099999999999994</v>
          </cell>
          <cell r="W98">
            <v>8.92</v>
          </cell>
          <cell r="X98">
            <v>17.43</v>
          </cell>
          <cell r="Y98">
            <v>0</v>
          </cell>
          <cell r="Z98">
            <v>5.2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852</v>
          </cell>
          <cell r="AF98">
            <v>0</v>
          </cell>
          <cell r="AG98">
            <v>0</v>
          </cell>
          <cell r="AH98">
            <v>957.65</v>
          </cell>
          <cell r="AI98">
            <v>3298.08</v>
          </cell>
          <cell r="AJ98">
            <v>0.15</v>
          </cell>
          <cell r="AK98">
            <v>0.08</v>
          </cell>
          <cell r="AL98">
            <v>3298</v>
          </cell>
        </row>
        <row r="99">
          <cell r="D99" t="str">
            <v>00011478</v>
          </cell>
          <cell r="E99" t="str">
            <v>徐 晖</v>
          </cell>
          <cell r="F99">
            <v>1180</v>
          </cell>
          <cell r="G99">
            <v>1064</v>
          </cell>
          <cell r="H99">
            <v>2468</v>
          </cell>
          <cell r="I99">
            <v>56</v>
          </cell>
          <cell r="J99">
            <v>0</v>
          </cell>
          <cell r="K99">
            <v>0</v>
          </cell>
          <cell r="L99">
            <v>56.1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4824.1000000000004</v>
          </cell>
          <cell r="U99">
            <v>0</v>
          </cell>
          <cell r="V99">
            <v>49.4</v>
          </cell>
          <cell r="W99">
            <v>0</v>
          </cell>
          <cell r="X99">
            <v>22.44</v>
          </cell>
          <cell r="Y99">
            <v>7.76</v>
          </cell>
          <cell r="Z99">
            <v>5.9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987</v>
          </cell>
          <cell r="AF99">
            <v>0</v>
          </cell>
          <cell r="AG99">
            <v>0</v>
          </cell>
          <cell r="AH99">
            <v>1072.5</v>
          </cell>
          <cell r="AI99">
            <v>3752.48</v>
          </cell>
          <cell r="AJ99">
            <v>0.88</v>
          </cell>
          <cell r="AK99">
            <v>0.48</v>
          </cell>
          <cell r="AL99">
            <v>3752</v>
          </cell>
        </row>
        <row r="100">
          <cell r="D100" t="str">
            <v>00011479</v>
          </cell>
          <cell r="E100" t="str">
            <v>李宏明</v>
          </cell>
          <cell r="F100">
            <v>730</v>
          </cell>
          <cell r="G100">
            <v>613</v>
          </cell>
          <cell r="H100">
            <v>2102</v>
          </cell>
          <cell r="I100">
            <v>56</v>
          </cell>
          <cell r="J100">
            <v>0</v>
          </cell>
          <cell r="K100">
            <v>0</v>
          </cell>
          <cell r="L100">
            <v>33.58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3534.58</v>
          </cell>
          <cell r="U100">
            <v>0</v>
          </cell>
          <cell r="V100">
            <v>0</v>
          </cell>
          <cell r="W100">
            <v>0</v>
          </cell>
          <cell r="X100">
            <v>13.43</v>
          </cell>
          <cell r="Y100">
            <v>0</v>
          </cell>
          <cell r="Z100">
            <v>3.65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701</v>
          </cell>
          <cell r="AF100">
            <v>0</v>
          </cell>
          <cell r="AG100">
            <v>0</v>
          </cell>
          <cell r="AH100">
            <v>718.08</v>
          </cell>
          <cell r="AI100">
            <v>2817.35</v>
          </cell>
          <cell r="AJ100">
            <v>0.85</v>
          </cell>
          <cell r="AK100">
            <v>0.35</v>
          </cell>
          <cell r="AL100">
            <v>2817</v>
          </cell>
        </row>
        <row r="101">
          <cell r="D101" t="str">
            <v>00011480</v>
          </cell>
          <cell r="E101" t="str">
            <v>荣 冠</v>
          </cell>
          <cell r="F101">
            <v>930</v>
          </cell>
          <cell r="G101">
            <v>555</v>
          </cell>
          <cell r="H101">
            <v>2376</v>
          </cell>
          <cell r="I101">
            <v>56</v>
          </cell>
          <cell r="J101">
            <v>0</v>
          </cell>
          <cell r="K101">
            <v>0</v>
          </cell>
          <cell r="L101">
            <v>37.130000000000003</v>
          </cell>
          <cell r="M101">
            <v>0</v>
          </cell>
          <cell r="N101">
            <v>0</v>
          </cell>
          <cell r="O101">
            <v>0</v>
          </cell>
          <cell r="P101">
            <v>5</v>
          </cell>
          <cell r="Q101">
            <v>0</v>
          </cell>
          <cell r="R101">
            <v>0</v>
          </cell>
          <cell r="S101">
            <v>0</v>
          </cell>
          <cell r="T101">
            <v>3959.13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3959.13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3959.13</v>
          </cell>
          <cell r="AI101">
            <v>0.83</v>
          </cell>
          <cell r="AJ101">
            <v>0.83</v>
          </cell>
          <cell r="AK101">
            <v>0.83</v>
          </cell>
          <cell r="AL101">
            <v>0</v>
          </cell>
        </row>
        <row r="102">
          <cell r="D102" t="str">
            <v>00011481</v>
          </cell>
          <cell r="E102" t="str">
            <v>王 涛SD</v>
          </cell>
          <cell r="F102">
            <v>930</v>
          </cell>
          <cell r="G102">
            <v>499</v>
          </cell>
          <cell r="H102">
            <v>2376</v>
          </cell>
          <cell r="I102">
            <v>56</v>
          </cell>
          <cell r="J102">
            <v>0</v>
          </cell>
          <cell r="K102">
            <v>0</v>
          </cell>
          <cell r="L102">
            <v>35.729999999999997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3896.73</v>
          </cell>
          <cell r="U102">
            <v>31</v>
          </cell>
          <cell r="V102">
            <v>0</v>
          </cell>
          <cell r="W102">
            <v>184.45</v>
          </cell>
          <cell r="X102">
            <v>14.29</v>
          </cell>
          <cell r="Y102">
            <v>0</v>
          </cell>
          <cell r="Z102">
            <v>4.6500000000000004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768</v>
          </cell>
          <cell r="AF102">
            <v>0</v>
          </cell>
          <cell r="AG102">
            <v>0</v>
          </cell>
          <cell r="AH102">
            <v>1002.39</v>
          </cell>
          <cell r="AI102">
            <v>2895.21</v>
          </cell>
          <cell r="AJ102">
            <v>0.87</v>
          </cell>
          <cell r="AK102">
            <v>0.21</v>
          </cell>
          <cell r="AL102">
            <v>2895</v>
          </cell>
        </row>
        <row r="103">
          <cell r="D103" t="str">
            <v>00011482</v>
          </cell>
          <cell r="E103" t="str">
            <v>杨连生</v>
          </cell>
          <cell r="F103">
            <v>1180</v>
          </cell>
          <cell r="G103">
            <v>1064</v>
          </cell>
          <cell r="H103">
            <v>2468</v>
          </cell>
          <cell r="I103">
            <v>56</v>
          </cell>
          <cell r="J103">
            <v>0</v>
          </cell>
          <cell r="K103">
            <v>0</v>
          </cell>
          <cell r="L103">
            <v>56.1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4824.1000000000004</v>
          </cell>
          <cell r="U103">
            <v>0</v>
          </cell>
          <cell r="V103">
            <v>541.5</v>
          </cell>
          <cell r="W103">
            <v>65.45</v>
          </cell>
          <cell r="X103">
            <v>22.44</v>
          </cell>
          <cell r="Y103">
            <v>7.76</v>
          </cell>
          <cell r="Z103">
            <v>5.9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987</v>
          </cell>
          <cell r="AF103">
            <v>0</v>
          </cell>
          <cell r="AG103">
            <v>0</v>
          </cell>
          <cell r="AH103">
            <v>1630.05</v>
          </cell>
          <cell r="AI103">
            <v>3194.05</v>
          </cell>
          <cell r="AJ103">
            <v>0</v>
          </cell>
          <cell r="AK103">
            <v>0.05</v>
          </cell>
          <cell r="AL103">
            <v>3194</v>
          </cell>
        </row>
        <row r="104">
          <cell r="D104" t="str">
            <v>00011485</v>
          </cell>
          <cell r="E104" t="str">
            <v>曾 力</v>
          </cell>
          <cell r="F104">
            <v>1180</v>
          </cell>
          <cell r="G104">
            <v>869</v>
          </cell>
          <cell r="H104">
            <v>2468</v>
          </cell>
          <cell r="I104">
            <v>56</v>
          </cell>
          <cell r="J104">
            <v>0</v>
          </cell>
          <cell r="K104">
            <v>0</v>
          </cell>
          <cell r="L104">
            <v>51.23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4624.2299999999996</v>
          </cell>
          <cell r="U104">
            <v>0</v>
          </cell>
          <cell r="V104">
            <v>49.4</v>
          </cell>
          <cell r="W104">
            <v>76.75</v>
          </cell>
          <cell r="X104">
            <v>20.49</v>
          </cell>
          <cell r="Y104">
            <v>3.44</v>
          </cell>
          <cell r="Z104">
            <v>5.9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938</v>
          </cell>
          <cell r="AF104">
            <v>0</v>
          </cell>
          <cell r="AG104">
            <v>0</v>
          </cell>
          <cell r="AH104">
            <v>1093.98</v>
          </cell>
          <cell r="AI104">
            <v>3530.8</v>
          </cell>
          <cell r="AJ104">
            <v>0.55000000000000004</v>
          </cell>
          <cell r="AK104">
            <v>0.8</v>
          </cell>
          <cell r="AL104">
            <v>3530</v>
          </cell>
        </row>
        <row r="105">
          <cell r="D105" t="str">
            <v>00011486</v>
          </cell>
          <cell r="E105" t="str">
            <v>吴定燕</v>
          </cell>
          <cell r="F105">
            <v>1040</v>
          </cell>
          <cell r="G105">
            <v>799</v>
          </cell>
          <cell r="H105">
            <v>2413</v>
          </cell>
          <cell r="I105">
            <v>56</v>
          </cell>
          <cell r="J105">
            <v>20</v>
          </cell>
          <cell r="K105">
            <v>0</v>
          </cell>
          <cell r="L105">
            <v>45.98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4373.9799999999996</v>
          </cell>
          <cell r="U105">
            <v>0</v>
          </cell>
          <cell r="V105">
            <v>0</v>
          </cell>
          <cell r="W105">
            <v>0</v>
          </cell>
          <cell r="X105">
            <v>18.39</v>
          </cell>
          <cell r="Y105">
            <v>0</v>
          </cell>
          <cell r="Z105">
            <v>5.2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876</v>
          </cell>
          <cell r="AF105">
            <v>0</v>
          </cell>
          <cell r="AG105">
            <v>0</v>
          </cell>
          <cell r="AH105">
            <v>899.59</v>
          </cell>
          <cell r="AI105">
            <v>3474.99</v>
          </cell>
          <cell r="AJ105">
            <v>0.6</v>
          </cell>
          <cell r="AK105">
            <v>0.99</v>
          </cell>
          <cell r="AL105">
            <v>3474</v>
          </cell>
        </row>
        <row r="106">
          <cell r="D106" t="str">
            <v>00011489</v>
          </cell>
          <cell r="E106" t="str">
            <v>何 真</v>
          </cell>
          <cell r="F106">
            <v>1420</v>
          </cell>
          <cell r="G106">
            <v>1024</v>
          </cell>
          <cell r="H106">
            <v>2779</v>
          </cell>
          <cell r="I106">
            <v>56</v>
          </cell>
          <cell r="J106">
            <v>20</v>
          </cell>
          <cell r="K106">
            <v>0</v>
          </cell>
          <cell r="L106">
            <v>61.1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5360.1</v>
          </cell>
          <cell r="U106">
            <v>0</v>
          </cell>
          <cell r="V106">
            <v>26.6</v>
          </cell>
          <cell r="W106">
            <v>59.5</v>
          </cell>
          <cell r="X106">
            <v>24.44</v>
          </cell>
          <cell r="Y106">
            <v>20.75</v>
          </cell>
          <cell r="Z106">
            <v>7.1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1083</v>
          </cell>
          <cell r="AF106">
            <v>0</v>
          </cell>
          <cell r="AG106">
            <v>0</v>
          </cell>
          <cell r="AH106">
            <v>1221.3900000000001</v>
          </cell>
          <cell r="AI106">
            <v>4139.49</v>
          </cell>
          <cell r="AJ106">
            <v>0.78</v>
          </cell>
          <cell r="AK106">
            <v>0.49</v>
          </cell>
          <cell r="AL106">
            <v>4139</v>
          </cell>
        </row>
        <row r="107">
          <cell r="D107" t="str">
            <v>00011490</v>
          </cell>
          <cell r="E107" t="str">
            <v>何正勇</v>
          </cell>
          <cell r="F107">
            <v>780</v>
          </cell>
          <cell r="G107">
            <v>613</v>
          </cell>
          <cell r="H107">
            <v>2139</v>
          </cell>
          <cell r="I107">
            <v>56</v>
          </cell>
          <cell r="J107">
            <v>0</v>
          </cell>
          <cell r="K107">
            <v>0</v>
          </cell>
          <cell r="L107">
            <v>34.83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3622.83</v>
          </cell>
          <cell r="U107">
            <v>0</v>
          </cell>
          <cell r="V107">
            <v>0</v>
          </cell>
          <cell r="W107">
            <v>13.09</v>
          </cell>
          <cell r="X107">
            <v>13.93</v>
          </cell>
          <cell r="Y107">
            <v>0</v>
          </cell>
          <cell r="Z107">
            <v>3.9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719</v>
          </cell>
          <cell r="AF107">
            <v>0</v>
          </cell>
          <cell r="AG107">
            <v>0</v>
          </cell>
          <cell r="AH107">
            <v>749.92</v>
          </cell>
          <cell r="AI107">
            <v>2873.7</v>
          </cell>
          <cell r="AJ107">
            <v>0.79</v>
          </cell>
          <cell r="AK107">
            <v>0.7</v>
          </cell>
          <cell r="AL107">
            <v>2873</v>
          </cell>
        </row>
        <row r="108">
          <cell r="D108" t="str">
            <v>00011491</v>
          </cell>
          <cell r="E108" t="str">
            <v>阮 燕</v>
          </cell>
          <cell r="F108">
            <v>1040</v>
          </cell>
          <cell r="G108">
            <v>643</v>
          </cell>
          <cell r="H108">
            <v>2413</v>
          </cell>
          <cell r="I108">
            <v>56</v>
          </cell>
          <cell r="J108">
            <v>20</v>
          </cell>
          <cell r="K108">
            <v>0</v>
          </cell>
          <cell r="L108">
            <v>42.08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4214.08</v>
          </cell>
          <cell r="U108">
            <v>0</v>
          </cell>
          <cell r="V108">
            <v>0</v>
          </cell>
          <cell r="W108">
            <v>0</v>
          </cell>
          <cell r="X108">
            <v>16.829999999999998</v>
          </cell>
          <cell r="Y108">
            <v>0</v>
          </cell>
          <cell r="Z108">
            <v>5.2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837</v>
          </cell>
          <cell r="AF108">
            <v>0</v>
          </cell>
          <cell r="AG108">
            <v>0</v>
          </cell>
          <cell r="AH108">
            <v>859.03</v>
          </cell>
          <cell r="AI108">
            <v>3355.23</v>
          </cell>
          <cell r="AJ108">
            <v>0.18</v>
          </cell>
          <cell r="AK108">
            <v>0.23</v>
          </cell>
          <cell r="AL108">
            <v>3355</v>
          </cell>
        </row>
        <row r="109">
          <cell r="D109" t="str">
            <v>00011492</v>
          </cell>
          <cell r="E109" t="str">
            <v>涂胜金</v>
          </cell>
          <cell r="F109">
            <v>1180</v>
          </cell>
          <cell r="G109">
            <v>1064</v>
          </cell>
          <cell r="H109">
            <v>2468</v>
          </cell>
          <cell r="I109">
            <v>56</v>
          </cell>
          <cell r="J109">
            <v>0</v>
          </cell>
          <cell r="K109">
            <v>0</v>
          </cell>
          <cell r="L109">
            <v>56.1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4824.1000000000004</v>
          </cell>
          <cell r="U109">
            <v>0</v>
          </cell>
          <cell r="V109">
            <v>476.9</v>
          </cell>
          <cell r="W109">
            <v>62.47</v>
          </cell>
          <cell r="X109">
            <v>22.44</v>
          </cell>
          <cell r="Y109">
            <v>7.76</v>
          </cell>
          <cell r="Z109">
            <v>5.9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987</v>
          </cell>
          <cell r="AF109">
            <v>0</v>
          </cell>
          <cell r="AG109">
            <v>0</v>
          </cell>
          <cell r="AH109">
            <v>1562.47</v>
          </cell>
          <cell r="AI109">
            <v>3261.82</v>
          </cell>
          <cell r="AJ109">
            <v>0.19</v>
          </cell>
          <cell r="AK109">
            <v>0.82</v>
          </cell>
          <cell r="AL109">
            <v>3261</v>
          </cell>
        </row>
        <row r="110">
          <cell r="D110" t="str">
            <v>00011497</v>
          </cell>
          <cell r="E110" t="str">
            <v>徐明毅</v>
          </cell>
          <cell r="F110">
            <v>930</v>
          </cell>
          <cell r="G110">
            <v>583</v>
          </cell>
          <cell r="H110">
            <v>2376</v>
          </cell>
          <cell r="I110">
            <v>56</v>
          </cell>
          <cell r="J110">
            <v>0</v>
          </cell>
          <cell r="K110">
            <v>0</v>
          </cell>
          <cell r="L110">
            <v>837.83</v>
          </cell>
          <cell r="M110">
            <v>0</v>
          </cell>
          <cell r="N110">
            <v>0</v>
          </cell>
          <cell r="O110">
            <v>0</v>
          </cell>
          <cell r="P110">
            <v>5</v>
          </cell>
          <cell r="Q110">
            <v>0</v>
          </cell>
          <cell r="R110">
            <v>0</v>
          </cell>
          <cell r="S110">
            <v>0</v>
          </cell>
          <cell r="T110">
            <v>4787.83</v>
          </cell>
          <cell r="U110">
            <v>280</v>
          </cell>
          <cell r="V110">
            <v>0</v>
          </cell>
          <cell r="W110">
            <v>85.08</v>
          </cell>
          <cell r="X110">
            <v>15.13</v>
          </cell>
          <cell r="Y110">
            <v>0</v>
          </cell>
          <cell r="Z110">
            <v>4.6500000000000004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789</v>
          </cell>
          <cell r="AF110">
            <v>0</v>
          </cell>
          <cell r="AG110">
            <v>0</v>
          </cell>
          <cell r="AH110">
            <v>1173.8599999999999</v>
          </cell>
          <cell r="AI110">
            <v>3614.24</v>
          </cell>
          <cell r="AJ110">
            <v>0.27</v>
          </cell>
          <cell r="AK110">
            <v>0.24</v>
          </cell>
          <cell r="AL110">
            <v>3614</v>
          </cell>
        </row>
        <row r="111">
          <cell r="D111" t="str">
            <v>00011499</v>
          </cell>
          <cell r="E111" t="str">
            <v>何金平</v>
          </cell>
          <cell r="F111">
            <v>1420</v>
          </cell>
          <cell r="G111">
            <v>767</v>
          </cell>
          <cell r="H111">
            <v>2779</v>
          </cell>
          <cell r="I111">
            <v>56</v>
          </cell>
          <cell r="J111">
            <v>0</v>
          </cell>
          <cell r="K111">
            <v>0</v>
          </cell>
          <cell r="L111">
            <v>54.68</v>
          </cell>
          <cell r="M111">
            <v>0</v>
          </cell>
          <cell r="N111">
            <v>0</v>
          </cell>
          <cell r="O111">
            <v>0</v>
          </cell>
          <cell r="P111">
            <v>5</v>
          </cell>
          <cell r="Q111">
            <v>0</v>
          </cell>
          <cell r="R111">
            <v>0</v>
          </cell>
          <cell r="S111">
            <v>0</v>
          </cell>
          <cell r="T111">
            <v>5081.68</v>
          </cell>
          <cell r="U111">
            <v>0</v>
          </cell>
          <cell r="V111">
            <v>159.6</v>
          </cell>
          <cell r="W111">
            <v>147.56</v>
          </cell>
          <cell r="X111">
            <v>21.87</v>
          </cell>
          <cell r="Y111">
            <v>14.46</v>
          </cell>
          <cell r="Z111">
            <v>7.1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1018</v>
          </cell>
          <cell r="AF111">
            <v>0</v>
          </cell>
          <cell r="AG111">
            <v>0</v>
          </cell>
          <cell r="AH111">
            <v>1368.59</v>
          </cell>
          <cell r="AI111">
            <v>3713.5</v>
          </cell>
          <cell r="AJ111">
            <v>0.41</v>
          </cell>
          <cell r="AK111">
            <v>0.5</v>
          </cell>
          <cell r="AL111">
            <v>3713</v>
          </cell>
        </row>
        <row r="112">
          <cell r="D112" t="str">
            <v>00011500</v>
          </cell>
          <cell r="E112" t="str">
            <v>李 民</v>
          </cell>
          <cell r="F112">
            <v>1180</v>
          </cell>
          <cell r="G112">
            <v>904</v>
          </cell>
          <cell r="H112">
            <v>2468</v>
          </cell>
          <cell r="I112">
            <v>56</v>
          </cell>
          <cell r="J112">
            <v>0</v>
          </cell>
          <cell r="K112">
            <v>0</v>
          </cell>
          <cell r="L112">
            <v>52.1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4660.1000000000004</v>
          </cell>
          <cell r="U112">
            <v>0</v>
          </cell>
          <cell r="V112">
            <v>199.5</v>
          </cell>
          <cell r="W112">
            <v>223.13</v>
          </cell>
          <cell r="X112">
            <v>20.84</v>
          </cell>
          <cell r="Y112">
            <v>4.2</v>
          </cell>
          <cell r="Z112">
            <v>5.9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947</v>
          </cell>
          <cell r="AF112">
            <v>0</v>
          </cell>
          <cell r="AG112">
            <v>0</v>
          </cell>
          <cell r="AH112">
            <v>1400.57</v>
          </cell>
          <cell r="AI112">
            <v>3260.3</v>
          </cell>
          <cell r="AJ112">
            <v>0.77</v>
          </cell>
          <cell r="AK112">
            <v>0.3</v>
          </cell>
          <cell r="AL112">
            <v>3260</v>
          </cell>
        </row>
        <row r="113">
          <cell r="D113" t="str">
            <v>00011501</v>
          </cell>
          <cell r="E113" t="str">
            <v>赖国伟</v>
          </cell>
          <cell r="F113">
            <v>1420</v>
          </cell>
          <cell r="G113">
            <v>1109</v>
          </cell>
          <cell r="H113">
            <v>2779</v>
          </cell>
          <cell r="I113">
            <v>56</v>
          </cell>
          <cell r="J113">
            <v>0</v>
          </cell>
          <cell r="K113">
            <v>0</v>
          </cell>
          <cell r="L113">
            <v>63.23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5427.23</v>
          </cell>
          <cell r="U113">
            <v>0</v>
          </cell>
          <cell r="V113">
            <v>0</v>
          </cell>
          <cell r="W113">
            <v>73.78</v>
          </cell>
          <cell r="X113">
            <v>25.29</v>
          </cell>
          <cell r="Y113">
            <v>22.04</v>
          </cell>
          <cell r="Z113">
            <v>7.1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1104</v>
          </cell>
          <cell r="AF113">
            <v>0</v>
          </cell>
          <cell r="AG113">
            <v>0</v>
          </cell>
          <cell r="AH113">
            <v>1232.21</v>
          </cell>
          <cell r="AI113">
            <v>4195.96</v>
          </cell>
          <cell r="AJ113">
            <v>0.94</v>
          </cell>
          <cell r="AK113">
            <v>0.96</v>
          </cell>
          <cell r="AL113">
            <v>4195</v>
          </cell>
        </row>
        <row r="114">
          <cell r="D114" t="str">
            <v>00011502</v>
          </cell>
          <cell r="E114" t="str">
            <v>李桂荣</v>
          </cell>
          <cell r="F114">
            <v>1180</v>
          </cell>
          <cell r="G114">
            <v>944</v>
          </cell>
          <cell r="H114">
            <v>2468</v>
          </cell>
          <cell r="I114">
            <v>56</v>
          </cell>
          <cell r="J114">
            <v>20</v>
          </cell>
          <cell r="K114">
            <v>0</v>
          </cell>
          <cell r="L114">
            <v>53.11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4721.1099999999997</v>
          </cell>
          <cell r="U114">
            <v>0</v>
          </cell>
          <cell r="V114">
            <v>0</v>
          </cell>
          <cell r="W114">
            <v>0.59</v>
          </cell>
          <cell r="X114">
            <v>21.24</v>
          </cell>
          <cell r="Y114">
            <v>5.69</v>
          </cell>
          <cell r="Z114">
            <v>5.9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957</v>
          </cell>
          <cell r="AF114">
            <v>0</v>
          </cell>
          <cell r="AG114">
            <v>0</v>
          </cell>
          <cell r="AH114">
            <v>990.42</v>
          </cell>
          <cell r="AI114">
            <v>3731.18</v>
          </cell>
          <cell r="AJ114">
            <v>0.49</v>
          </cell>
          <cell r="AK114">
            <v>0.18</v>
          </cell>
          <cell r="AL114">
            <v>3731</v>
          </cell>
        </row>
        <row r="115">
          <cell r="D115" t="str">
            <v>00011503</v>
          </cell>
          <cell r="E115" t="str">
            <v>佘成学</v>
          </cell>
          <cell r="F115">
            <v>1420</v>
          </cell>
          <cell r="G115">
            <v>984</v>
          </cell>
          <cell r="H115">
            <v>2779</v>
          </cell>
          <cell r="I115">
            <v>56</v>
          </cell>
          <cell r="J115">
            <v>0</v>
          </cell>
          <cell r="K115">
            <v>0</v>
          </cell>
          <cell r="L115">
            <v>60.1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5299.1</v>
          </cell>
          <cell r="U115">
            <v>0</v>
          </cell>
          <cell r="V115">
            <v>0</v>
          </cell>
          <cell r="W115">
            <v>0</v>
          </cell>
          <cell r="X115">
            <v>24.04</v>
          </cell>
          <cell r="Y115">
            <v>19.260000000000002</v>
          </cell>
          <cell r="Z115">
            <v>7.1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1073</v>
          </cell>
          <cell r="AF115">
            <v>0</v>
          </cell>
          <cell r="AG115">
            <v>0</v>
          </cell>
          <cell r="AH115">
            <v>1123.4000000000001</v>
          </cell>
          <cell r="AI115">
            <v>4175.9799999999996</v>
          </cell>
          <cell r="AJ115">
            <v>0.28000000000000003</v>
          </cell>
          <cell r="AK115">
            <v>0.98</v>
          </cell>
          <cell r="AL115">
            <v>4175</v>
          </cell>
        </row>
        <row r="116">
          <cell r="D116" t="str">
            <v>00011505</v>
          </cell>
          <cell r="E116" t="str">
            <v>费文才</v>
          </cell>
          <cell r="F116">
            <v>1040</v>
          </cell>
          <cell r="G116">
            <v>834</v>
          </cell>
          <cell r="H116">
            <v>2413</v>
          </cell>
          <cell r="I116">
            <v>56</v>
          </cell>
          <cell r="J116">
            <v>0</v>
          </cell>
          <cell r="K116">
            <v>0</v>
          </cell>
          <cell r="L116">
            <v>46.85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4389.8500000000004</v>
          </cell>
          <cell r="U116">
            <v>0</v>
          </cell>
          <cell r="V116">
            <v>0</v>
          </cell>
          <cell r="W116">
            <v>0</v>
          </cell>
          <cell r="X116">
            <v>18.739999999999998</v>
          </cell>
          <cell r="Y116">
            <v>0</v>
          </cell>
          <cell r="Z116">
            <v>5.2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885</v>
          </cell>
          <cell r="AF116">
            <v>0</v>
          </cell>
          <cell r="AG116">
            <v>0</v>
          </cell>
          <cell r="AH116">
            <v>908.94</v>
          </cell>
          <cell r="AI116">
            <v>3481.44</v>
          </cell>
          <cell r="AJ116">
            <v>0.53</v>
          </cell>
          <cell r="AK116">
            <v>0.44</v>
          </cell>
          <cell r="AL116">
            <v>3481</v>
          </cell>
        </row>
        <row r="117">
          <cell r="D117" t="str">
            <v>00011506</v>
          </cell>
          <cell r="E117" t="str">
            <v>何蕴龙</v>
          </cell>
          <cell r="F117">
            <v>1420</v>
          </cell>
          <cell r="G117">
            <v>1109</v>
          </cell>
          <cell r="H117">
            <v>2779</v>
          </cell>
          <cell r="I117">
            <v>56</v>
          </cell>
          <cell r="J117">
            <v>0</v>
          </cell>
          <cell r="K117">
            <v>0</v>
          </cell>
          <cell r="L117">
            <v>63.23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5427.23</v>
          </cell>
          <cell r="U117">
            <v>0</v>
          </cell>
          <cell r="V117">
            <v>0</v>
          </cell>
          <cell r="W117">
            <v>0</v>
          </cell>
          <cell r="X117">
            <v>25.29</v>
          </cell>
          <cell r="Y117">
            <v>22.04</v>
          </cell>
          <cell r="Z117">
            <v>7.1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1104</v>
          </cell>
          <cell r="AF117">
            <v>0</v>
          </cell>
          <cell r="AG117">
            <v>0</v>
          </cell>
          <cell r="AH117">
            <v>1158.43</v>
          </cell>
          <cell r="AI117">
            <v>4269.54</v>
          </cell>
          <cell r="AJ117">
            <v>0.74</v>
          </cell>
          <cell r="AK117">
            <v>0.54</v>
          </cell>
          <cell r="AL117">
            <v>4269</v>
          </cell>
        </row>
        <row r="118">
          <cell r="D118" t="str">
            <v>00011508</v>
          </cell>
          <cell r="E118" t="str">
            <v>雷川华</v>
          </cell>
          <cell r="F118">
            <v>780</v>
          </cell>
          <cell r="G118">
            <v>703</v>
          </cell>
          <cell r="H118">
            <v>2139</v>
          </cell>
          <cell r="I118">
            <v>56</v>
          </cell>
          <cell r="J118">
            <v>0</v>
          </cell>
          <cell r="K118">
            <v>0</v>
          </cell>
          <cell r="L118">
            <v>37.08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3715.08</v>
          </cell>
          <cell r="U118">
            <v>0</v>
          </cell>
          <cell r="V118">
            <v>19</v>
          </cell>
          <cell r="W118">
            <v>161.84</v>
          </cell>
          <cell r="X118">
            <v>14.83</v>
          </cell>
          <cell r="Y118">
            <v>0</v>
          </cell>
          <cell r="Z118">
            <v>3.9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742</v>
          </cell>
          <cell r="AF118">
            <v>0</v>
          </cell>
          <cell r="AG118">
            <v>0</v>
          </cell>
          <cell r="AH118">
            <v>941.57</v>
          </cell>
          <cell r="AI118">
            <v>2774.49</v>
          </cell>
          <cell r="AJ118">
            <v>0.98</v>
          </cell>
          <cell r="AK118">
            <v>0.49</v>
          </cell>
          <cell r="AL118">
            <v>2774</v>
          </cell>
        </row>
        <row r="119">
          <cell r="D119" t="str">
            <v>00011510</v>
          </cell>
          <cell r="E119" t="str">
            <v>陈胜宏</v>
          </cell>
          <cell r="F119">
            <v>1900</v>
          </cell>
          <cell r="G119">
            <v>1434</v>
          </cell>
          <cell r="H119">
            <v>3108</v>
          </cell>
          <cell r="I119">
            <v>56</v>
          </cell>
          <cell r="J119">
            <v>0</v>
          </cell>
          <cell r="K119">
            <v>0</v>
          </cell>
          <cell r="L119">
            <v>83.35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6581.35</v>
          </cell>
          <cell r="U119">
            <v>0</v>
          </cell>
          <cell r="V119">
            <v>723.9</v>
          </cell>
          <cell r="W119">
            <v>0</v>
          </cell>
          <cell r="X119">
            <v>33.340000000000003</v>
          </cell>
          <cell r="Y119">
            <v>54.87</v>
          </cell>
          <cell r="Z119">
            <v>9.5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1366</v>
          </cell>
          <cell r="AF119">
            <v>0</v>
          </cell>
          <cell r="AG119">
            <v>0</v>
          </cell>
          <cell r="AH119">
            <v>2187.61</v>
          </cell>
          <cell r="AI119">
            <v>4394.58</v>
          </cell>
          <cell r="AJ119">
            <v>0.84</v>
          </cell>
          <cell r="AK119">
            <v>0.57999999999999996</v>
          </cell>
          <cell r="AL119">
            <v>4394</v>
          </cell>
        </row>
        <row r="120">
          <cell r="D120" t="str">
            <v>00011511</v>
          </cell>
          <cell r="E120" t="str">
            <v>王均星</v>
          </cell>
          <cell r="F120">
            <v>1420</v>
          </cell>
          <cell r="G120">
            <v>944</v>
          </cell>
          <cell r="H120">
            <v>2779</v>
          </cell>
          <cell r="I120">
            <v>56</v>
          </cell>
          <cell r="J120">
            <v>0</v>
          </cell>
          <cell r="K120">
            <v>0</v>
          </cell>
          <cell r="L120">
            <v>59.1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5258.1</v>
          </cell>
          <cell r="U120">
            <v>0</v>
          </cell>
          <cell r="V120">
            <v>28.5</v>
          </cell>
          <cell r="W120">
            <v>209.44</v>
          </cell>
          <cell r="X120">
            <v>23.64</v>
          </cell>
          <cell r="Y120">
            <v>18.37</v>
          </cell>
          <cell r="Z120">
            <v>7.1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1063</v>
          </cell>
          <cell r="AF120">
            <v>0</v>
          </cell>
          <cell r="AG120">
            <v>0</v>
          </cell>
          <cell r="AH120">
            <v>1350.05</v>
          </cell>
          <cell r="AI120">
            <v>3908.42</v>
          </cell>
          <cell r="AJ120">
            <v>0.37</v>
          </cell>
          <cell r="AK120">
            <v>0.42</v>
          </cell>
          <cell r="AL120">
            <v>3908</v>
          </cell>
        </row>
        <row r="121">
          <cell r="D121" t="str">
            <v>00011513</v>
          </cell>
          <cell r="E121" t="str">
            <v>吴云芳</v>
          </cell>
          <cell r="F121">
            <v>730</v>
          </cell>
          <cell r="G121">
            <v>527</v>
          </cell>
          <cell r="H121">
            <v>2102</v>
          </cell>
          <cell r="I121">
            <v>56</v>
          </cell>
          <cell r="J121">
            <v>20</v>
          </cell>
          <cell r="K121">
            <v>0</v>
          </cell>
          <cell r="L121">
            <v>31.43</v>
          </cell>
          <cell r="M121">
            <v>0</v>
          </cell>
          <cell r="N121">
            <v>0</v>
          </cell>
          <cell r="O121">
            <v>0</v>
          </cell>
          <cell r="P121">
            <v>5</v>
          </cell>
          <cell r="Q121">
            <v>0</v>
          </cell>
          <cell r="R121">
            <v>0</v>
          </cell>
          <cell r="S121">
            <v>0</v>
          </cell>
          <cell r="T121">
            <v>3471.43</v>
          </cell>
          <cell r="U121">
            <v>0</v>
          </cell>
          <cell r="V121">
            <v>0</v>
          </cell>
          <cell r="W121">
            <v>1.19</v>
          </cell>
          <cell r="X121">
            <v>12.57</v>
          </cell>
          <cell r="Y121">
            <v>0</v>
          </cell>
          <cell r="Z121">
            <v>3.65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679</v>
          </cell>
          <cell r="AF121">
            <v>0</v>
          </cell>
          <cell r="AG121">
            <v>0</v>
          </cell>
          <cell r="AH121">
            <v>696.41</v>
          </cell>
          <cell r="AI121">
            <v>2775.04</v>
          </cell>
          <cell r="AJ121">
            <v>0.02</v>
          </cell>
          <cell r="AK121">
            <v>0.04</v>
          </cell>
          <cell r="AL121">
            <v>2775</v>
          </cell>
        </row>
        <row r="122">
          <cell r="D122" t="str">
            <v>00011515</v>
          </cell>
          <cell r="E122" t="str">
            <v>肖 宜</v>
          </cell>
          <cell r="F122">
            <v>930</v>
          </cell>
          <cell r="G122">
            <v>499</v>
          </cell>
          <cell r="H122">
            <v>2376</v>
          </cell>
          <cell r="I122">
            <v>56</v>
          </cell>
          <cell r="J122">
            <v>20</v>
          </cell>
          <cell r="K122">
            <v>0</v>
          </cell>
          <cell r="L122">
            <v>35.729999999999997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Q122">
            <v>0</v>
          </cell>
          <cell r="R122">
            <v>0</v>
          </cell>
          <cell r="S122">
            <v>0</v>
          </cell>
          <cell r="T122">
            <v>3921.73</v>
          </cell>
          <cell r="U122">
            <v>0</v>
          </cell>
          <cell r="V122">
            <v>167.2</v>
          </cell>
          <cell r="W122">
            <v>102.94</v>
          </cell>
          <cell r="X122">
            <v>14.29</v>
          </cell>
          <cell r="Y122">
            <v>0</v>
          </cell>
          <cell r="Z122">
            <v>4.6500000000000004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768</v>
          </cell>
          <cell r="AF122">
            <v>0</v>
          </cell>
          <cell r="AG122">
            <v>0</v>
          </cell>
          <cell r="AH122">
            <v>1057.08</v>
          </cell>
          <cell r="AI122">
            <v>2864.77</v>
          </cell>
          <cell r="AJ122">
            <v>0.12</v>
          </cell>
          <cell r="AK122">
            <v>0.77</v>
          </cell>
          <cell r="AL122">
            <v>2864</v>
          </cell>
        </row>
        <row r="123">
          <cell r="D123" t="str">
            <v>00011517</v>
          </cell>
          <cell r="E123" t="str">
            <v>贺昌海</v>
          </cell>
          <cell r="F123">
            <v>1420</v>
          </cell>
          <cell r="G123">
            <v>767</v>
          </cell>
          <cell r="H123">
            <v>2779</v>
          </cell>
          <cell r="I123">
            <v>56</v>
          </cell>
          <cell r="J123">
            <v>0</v>
          </cell>
          <cell r="K123">
            <v>0</v>
          </cell>
          <cell r="L123">
            <v>54.68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5076.68</v>
          </cell>
          <cell r="U123">
            <v>15</v>
          </cell>
          <cell r="V123">
            <v>114</v>
          </cell>
          <cell r="W123">
            <v>55.93</v>
          </cell>
          <cell r="X123">
            <v>21.87</v>
          </cell>
          <cell r="Y123">
            <v>14.46</v>
          </cell>
          <cell r="Z123">
            <v>7.1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1018</v>
          </cell>
          <cell r="AF123">
            <v>0</v>
          </cell>
          <cell r="AG123">
            <v>0</v>
          </cell>
          <cell r="AH123">
            <v>1246.3599999999999</v>
          </cell>
          <cell r="AI123">
            <v>3830.5</v>
          </cell>
          <cell r="AJ123">
            <v>0.18</v>
          </cell>
          <cell r="AK123">
            <v>0.5</v>
          </cell>
          <cell r="AL123">
            <v>3830</v>
          </cell>
        </row>
        <row r="124">
          <cell r="D124" t="str">
            <v>00011518</v>
          </cell>
          <cell r="E124" t="str">
            <v>朱传云</v>
          </cell>
          <cell r="F124">
            <v>1180</v>
          </cell>
          <cell r="G124">
            <v>1244</v>
          </cell>
          <cell r="H124">
            <v>2468</v>
          </cell>
          <cell r="I124">
            <v>56</v>
          </cell>
          <cell r="J124">
            <v>0</v>
          </cell>
          <cell r="K124">
            <v>0</v>
          </cell>
          <cell r="L124">
            <v>60.6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5008.6000000000004</v>
          </cell>
          <cell r="U124">
            <v>0</v>
          </cell>
          <cell r="V124">
            <v>165.3</v>
          </cell>
          <cell r="W124">
            <v>190.4</v>
          </cell>
          <cell r="X124">
            <v>24.24</v>
          </cell>
          <cell r="Y124">
            <v>11.75</v>
          </cell>
          <cell r="Z124">
            <v>5.9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1032</v>
          </cell>
          <cell r="AF124">
            <v>0</v>
          </cell>
          <cell r="AG124">
            <v>0</v>
          </cell>
          <cell r="AH124">
            <v>1429.59</v>
          </cell>
          <cell r="AI124">
            <v>3579.56</v>
          </cell>
          <cell r="AJ124">
            <v>0.55000000000000004</v>
          </cell>
          <cell r="AK124">
            <v>0.56000000000000005</v>
          </cell>
          <cell r="AL124">
            <v>3579</v>
          </cell>
        </row>
        <row r="125">
          <cell r="D125" t="str">
            <v>00011519</v>
          </cell>
          <cell r="E125" t="str">
            <v>周力平</v>
          </cell>
          <cell r="F125">
            <v>1040</v>
          </cell>
          <cell r="G125">
            <v>984</v>
          </cell>
          <cell r="H125">
            <v>2413</v>
          </cell>
          <cell r="I125">
            <v>56</v>
          </cell>
          <cell r="J125">
            <v>0</v>
          </cell>
          <cell r="K125">
            <v>0</v>
          </cell>
          <cell r="L125">
            <v>50.6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4543.6000000000004</v>
          </cell>
          <cell r="U125">
            <v>0</v>
          </cell>
          <cell r="V125">
            <v>114</v>
          </cell>
          <cell r="W125">
            <v>69.02</v>
          </cell>
          <cell r="X125">
            <v>20.239999999999998</v>
          </cell>
          <cell r="Y125">
            <v>1.49</v>
          </cell>
          <cell r="Z125">
            <v>5.2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923</v>
          </cell>
          <cell r="AF125">
            <v>0</v>
          </cell>
          <cell r="AG125">
            <v>0</v>
          </cell>
          <cell r="AH125">
            <v>1132.95</v>
          </cell>
          <cell r="AI125">
            <v>3411.29</v>
          </cell>
          <cell r="AJ125">
            <v>0.64</v>
          </cell>
          <cell r="AK125">
            <v>0.28999999999999998</v>
          </cell>
          <cell r="AL125">
            <v>3411</v>
          </cell>
        </row>
        <row r="126">
          <cell r="D126" t="str">
            <v>00011521</v>
          </cell>
          <cell r="E126" t="str">
            <v>舒大强</v>
          </cell>
          <cell r="F126">
            <v>1630</v>
          </cell>
          <cell r="G126">
            <v>1154</v>
          </cell>
          <cell r="H126">
            <v>2961</v>
          </cell>
          <cell r="I126">
            <v>56</v>
          </cell>
          <cell r="J126">
            <v>0</v>
          </cell>
          <cell r="K126">
            <v>0</v>
          </cell>
          <cell r="L126">
            <v>69.599999999999994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5870.6</v>
          </cell>
          <cell r="U126">
            <v>0</v>
          </cell>
          <cell r="V126">
            <v>302.10000000000002</v>
          </cell>
          <cell r="W126">
            <v>127.92</v>
          </cell>
          <cell r="X126">
            <v>27.84</v>
          </cell>
          <cell r="Y126">
            <v>32.07</v>
          </cell>
          <cell r="Z126">
            <v>8.15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1204</v>
          </cell>
          <cell r="AF126">
            <v>0</v>
          </cell>
          <cell r="AG126">
            <v>0</v>
          </cell>
          <cell r="AH126">
            <v>1702.08</v>
          </cell>
          <cell r="AI126">
            <v>4169.09</v>
          </cell>
          <cell r="AJ126">
            <v>0.56999999999999995</v>
          </cell>
          <cell r="AK126">
            <v>0.09</v>
          </cell>
          <cell r="AL126">
            <v>4169</v>
          </cell>
        </row>
        <row r="127">
          <cell r="D127" t="str">
            <v>00011522</v>
          </cell>
          <cell r="E127" t="str">
            <v>申明亮</v>
          </cell>
          <cell r="F127">
            <v>1180</v>
          </cell>
          <cell r="G127">
            <v>944</v>
          </cell>
          <cell r="H127">
            <v>2468</v>
          </cell>
          <cell r="I127">
            <v>56</v>
          </cell>
          <cell r="J127">
            <v>0</v>
          </cell>
          <cell r="K127">
            <v>0</v>
          </cell>
          <cell r="L127">
            <v>53.1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4701.1000000000004</v>
          </cell>
          <cell r="U127">
            <v>0</v>
          </cell>
          <cell r="V127">
            <v>0</v>
          </cell>
          <cell r="W127">
            <v>183.85</v>
          </cell>
          <cell r="X127">
            <v>21.24</v>
          </cell>
          <cell r="Y127">
            <v>5.09</v>
          </cell>
          <cell r="Z127">
            <v>5.9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957</v>
          </cell>
          <cell r="AF127">
            <v>0</v>
          </cell>
          <cell r="AG127">
            <v>0</v>
          </cell>
          <cell r="AH127">
            <v>1173.08</v>
          </cell>
          <cell r="AI127">
            <v>3528.99</v>
          </cell>
          <cell r="AJ127">
            <v>0.97</v>
          </cell>
          <cell r="AK127">
            <v>0.99</v>
          </cell>
          <cell r="AL127">
            <v>3528</v>
          </cell>
        </row>
        <row r="128">
          <cell r="D128" t="str">
            <v>00011523</v>
          </cell>
          <cell r="E128" t="str">
            <v>吴益明</v>
          </cell>
          <cell r="F128">
            <v>1040</v>
          </cell>
          <cell r="G128">
            <v>834</v>
          </cell>
          <cell r="H128">
            <v>2413</v>
          </cell>
          <cell r="I128">
            <v>56</v>
          </cell>
          <cell r="J128">
            <v>0</v>
          </cell>
          <cell r="K128">
            <v>0</v>
          </cell>
          <cell r="L128">
            <v>46.85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4389.8500000000004</v>
          </cell>
          <cell r="U128">
            <v>0</v>
          </cell>
          <cell r="V128">
            <v>0</v>
          </cell>
          <cell r="W128">
            <v>0</v>
          </cell>
          <cell r="X128">
            <v>18.739999999999998</v>
          </cell>
          <cell r="Y128">
            <v>0</v>
          </cell>
          <cell r="Z128">
            <v>5.2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885</v>
          </cell>
          <cell r="AF128">
            <v>0</v>
          </cell>
          <cell r="AG128">
            <v>0</v>
          </cell>
          <cell r="AH128">
            <v>908.94</v>
          </cell>
          <cell r="AI128">
            <v>3481.38</v>
          </cell>
          <cell r="AJ128">
            <v>0.47</v>
          </cell>
          <cell r="AK128">
            <v>0.38</v>
          </cell>
          <cell r="AL128">
            <v>3481</v>
          </cell>
        </row>
        <row r="129">
          <cell r="D129" t="str">
            <v>00011525</v>
          </cell>
          <cell r="E129" t="str">
            <v>卢文波</v>
          </cell>
          <cell r="F129">
            <v>1900</v>
          </cell>
          <cell r="G129">
            <v>944</v>
          </cell>
          <cell r="H129">
            <v>3108</v>
          </cell>
          <cell r="I129">
            <v>56</v>
          </cell>
          <cell r="J129">
            <v>0</v>
          </cell>
          <cell r="K129">
            <v>0</v>
          </cell>
          <cell r="L129">
            <v>71.099999999999994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6079.1</v>
          </cell>
          <cell r="U129">
            <v>0</v>
          </cell>
          <cell r="V129">
            <v>0</v>
          </cell>
          <cell r="W129">
            <v>0</v>
          </cell>
          <cell r="X129">
            <v>28.44</v>
          </cell>
          <cell r="Y129">
            <v>37.07</v>
          </cell>
          <cell r="Z129">
            <v>9.5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1244</v>
          </cell>
          <cell r="AF129">
            <v>0</v>
          </cell>
          <cell r="AG129">
            <v>0</v>
          </cell>
          <cell r="AH129">
            <v>1319.01</v>
          </cell>
          <cell r="AI129">
            <v>4760.16</v>
          </cell>
          <cell r="AJ129">
            <v>7.0000000000000007E-2</v>
          </cell>
          <cell r="AK129">
            <v>0.16</v>
          </cell>
          <cell r="AL129">
            <v>4760</v>
          </cell>
        </row>
        <row r="130">
          <cell r="D130" t="str">
            <v>00011527</v>
          </cell>
          <cell r="E130" t="str">
            <v>杨 磊</v>
          </cell>
          <cell r="F130">
            <v>930</v>
          </cell>
          <cell r="G130">
            <v>499</v>
          </cell>
          <cell r="H130">
            <v>2376</v>
          </cell>
          <cell r="I130">
            <v>56</v>
          </cell>
          <cell r="J130">
            <v>0</v>
          </cell>
          <cell r="K130">
            <v>0</v>
          </cell>
          <cell r="L130">
            <v>35.729999999999997</v>
          </cell>
          <cell r="M130">
            <v>0</v>
          </cell>
          <cell r="N130">
            <v>0</v>
          </cell>
          <cell r="O130">
            <v>0</v>
          </cell>
          <cell r="P130">
            <v>5</v>
          </cell>
          <cell r="Q130">
            <v>0</v>
          </cell>
          <cell r="R130">
            <v>0</v>
          </cell>
          <cell r="S130">
            <v>0</v>
          </cell>
          <cell r="T130">
            <v>3901.73</v>
          </cell>
          <cell r="U130">
            <v>0</v>
          </cell>
          <cell r="V130">
            <v>0</v>
          </cell>
          <cell r="W130">
            <v>0</v>
          </cell>
          <cell r="X130">
            <v>14.29</v>
          </cell>
          <cell r="Y130">
            <v>0</v>
          </cell>
          <cell r="Z130">
            <v>4.6500000000000004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768</v>
          </cell>
          <cell r="AF130">
            <v>0</v>
          </cell>
          <cell r="AG130">
            <v>0</v>
          </cell>
          <cell r="AH130">
            <v>786.94</v>
          </cell>
          <cell r="AI130">
            <v>3115.34</v>
          </cell>
          <cell r="AJ130">
            <v>0.55000000000000004</v>
          </cell>
          <cell r="AK130">
            <v>0.34</v>
          </cell>
          <cell r="AL130">
            <v>3115</v>
          </cell>
        </row>
        <row r="131">
          <cell r="D131" t="str">
            <v>00011528</v>
          </cell>
          <cell r="E131" t="str">
            <v>任春秀</v>
          </cell>
          <cell r="F131">
            <v>720</v>
          </cell>
          <cell r="G131">
            <v>499</v>
          </cell>
          <cell r="H131">
            <v>2139</v>
          </cell>
          <cell r="I131">
            <v>56</v>
          </cell>
          <cell r="J131">
            <v>20</v>
          </cell>
          <cell r="K131">
            <v>0</v>
          </cell>
          <cell r="L131">
            <v>33.729999999999997</v>
          </cell>
          <cell r="M131">
            <v>0</v>
          </cell>
          <cell r="N131">
            <v>0</v>
          </cell>
          <cell r="O131">
            <v>130</v>
          </cell>
          <cell r="P131">
            <v>5</v>
          </cell>
          <cell r="Q131">
            <v>0</v>
          </cell>
          <cell r="R131">
            <v>0</v>
          </cell>
          <cell r="S131">
            <v>0</v>
          </cell>
          <cell r="T131">
            <v>3602.73</v>
          </cell>
          <cell r="U131">
            <v>0</v>
          </cell>
          <cell r="V131">
            <v>1041.2</v>
          </cell>
          <cell r="W131">
            <v>278.45999999999998</v>
          </cell>
          <cell r="X131">
            <v>12.19</v>
          </cell>
          <cell r="Y131">
            <v>0</v>
          </cell>
          <cell r="Z131">
            <v>3.6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708</v>
          </cell>
          <cell r="AF131">
            <v>0</v>
          </cell>
          <cell r="AG131">
            <v>0</v>
          </cell>
          <cell r="AH131">
            <v>2043.45</v>
          </cell>
          <cell r="AI131">
            <v>1559.79</v>
          </cell>
          <cell r="AJ131">
            <v>0.51</v>
          </cell>
          <cell r="AK131">
            <v>0.79</v>
          </cell>
          <cell r="AL131">
            <v>1559</v>
          </cell>
        </row>
        <row r="132">
          <cell r="D132" t="str">
            <v>00011529</v>
          </cell>
          <cell r="E132" t="str">
            <v>胡志根</v>
          </cell>
          <cell r="F132">
            <v>1630</v>
          </cell>
          <cell r="G132">
            <v>1109</v>
          </cell>
          <cell r="H132">
            <v>2961</v>
          </cell>
          <cell r="I132">
            <v>56</v>
          </cell>
          <cell r="J132">
            <v>0</v>
          </cell>
          <cell r="K132">
            <v>0</v>
          </cell>
          <cell r="L132">
            <v>68.48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5824.48</v>
          </cell>
          <cell r="U132">
            <v>0</v>
          </cell>
          <cell r="V132">
            <v>323</v>
          </cell>
          <cell r="W132">
            <v>188.02</v>
          </cell>
          <cell r="X132">
            <v>27.39</v>
          </cell>
          <cell r="Y132">
            <v>31.07</v>
          </cell>
          <cell r="Z132">
            <v>8.15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1193</v>
          </cell>
          <cell r="AF132">
            <v>0</v>
          </cell>
          <cell r="AG132">
            <v>0</v>
          </cell>
          <cell r="AH132">
            <v>1770.63</v>
          </cell>
          <cell r="AI132">
            <v>4054.09</v>
          </cell>
          <cell r="AJ132">
            <v>0.24</v>
          </cell>
          <cell r="AK132">
            <v>0.09</v>
          </cell>
          <cell r="AL132">
            <v>4054</v>
          </cell>
        </row>
        <row r="133">
          <cell r="D133" t="str">
            <v>00011560</v>
          </cell>
          <cell r="E133" t="str">
            <v>吴长胜</v>
          </cell>
          <cell r="F133">
            <v>780</v>
          </cell>
          <cell r="G133">
            <v>799</v>
          </cell>
          <cell r="H133">
            <v>2139</v>
          </cell>
          <cell r="I133">
            <v>56</v>
          </cell>
          <cell r="J133">
            <v>0</v>
          </cell>
          <cell r="K133">
            <v>0</v>
          </cell>
          <cell r="L133">
            <v>39.479999999999997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Q133">
            <v>0</v>
          </cell>
          <cell r="R133">
            <v>0</v>
          </cell>
          <cell r="S133">
            <v>0</v>
          </cell>
          <cell r="T133">
            <v>3818.48</v>
          </cell>
          <cell r="U133">
            <v>0</v>
          </cell>
          <cell r="V133">
            <v>43.7</v>
          </cell>
          <cell r="W133">
            <v>42.24</v>
          </cell>
          <cell r="X133">
            <v>15.79</v>
          </cell>
          <cell r="Y133">
            <v>0</v>
          </cell>
          <cell r="Z133">
            <v>3.9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766</v>
          </cell>
          <cell r="AF133">
            <v>0</v>
          </cell>
          <cell r="AG133">
            <v>0</v>
          </cell>
          <cell r="AH133">
            <v>871.63</v>
          </cell>
          <cell r="AI133">
            <v>2946.99</v>
          </cell>
          <cell r="AJ133">
            <v>0.14000000000000001</v>
          </cell>
          <cell r="AK133">
            <v>0.99</v>
          </cell>
          <cell r="AL133">
            <v>2946</v>
          </cell>
        </row>
        <row r="134">
          <cell r="D134" t="str">
            <v>00011561</v>
          </cell>
          <cell r="E134" t="str">
            <v>王学武</v>
          </cell>
          <cell r="F134">
            <v>780</v>
          </cell>
          <cell r="G134">
            <v>643</v>
          </cell>
          <cell r="H134">
            <v>2139</v>
          </cell>
          <cell r="I134">
            <v>56</v>
          </cell>
          <cell r="J134">
            <v>0</v>
          </cell>
          <cell r="K134">
            <v>0</v>
          </cell>
          <cell r="L134">
            <v>35.58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3653.58</v>
          </cell>
          <cell r="U134">
            <v>0</v>
          </cell>
          <cell r="V134">
            <v>0</v>
          </cell>
          <cell r="W134">
            <v>0</v>
          </cell>
          <cell r="X134">
            <v>14.23</v>
          </cell>
          <cell r="Y134">
            <v>0</v>
          </cell>
          <cell r="Z134">
            <v>3.9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727</v>
          </cell>
          <cell r="AF134">
            <v>0</v>
          </cell>
          <cell r="AG134">
            <v>0</v>
          </cell>
          <cell r="AH134">
            <v>745.13</v>
          </cell>
          <cell r="AI134">
            <v>2909.01</v>
          </cell>
          <cell r="AJ134">
            <v>0.56000000000000005</v>
          </cell>
          <cell r="AK134">
            <v>0.01</v>
          </cell>
          <cell r="AL134">
            <v>2909</v>
          </cell>
        </row>
        <row r="135">
          <cell r="D135" t="str">
            <v>00011562</v>
          </cell>
          <cell r="E135" t="str">
            <v>黄汉生</v>
          </cell>
          <cell r="F135">
            <v>1040</v>
          </cell>
          <cell r="G135">
            <v>643</v>
          </cell>
          <cell r="H135">
            <v>2413</v>
          </cell>
          <cell r="I135">
            <v>56</v>
          </cell>
          <cell r="J135">
            <v>0</v>
          </cell>
          <cell r="K135">
            <v>0</v>
          </cell>
          <cell r="L135">
            <v>42.08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4194.08</v>
          </cell>
          <cell r="U135">
            <v>0</v>
          </cell>
          <cell r="V135">
            <v>0</v>
          </cell>
          <cell r="W135">
            <v>0</v>
          </cell>
          <cell r="X135">
            <v>16.829999999999998</v>
          </cell>
          <cell r="Y135">
            <v>0</v>
          </cell>
          <cell r="Z135">
            <v>5.2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837</v>
          </cell>
          <cell r="AF135">
            <v>0</v>
          </cell>
          <cell r="AG135">
            <v>0</v>
          </cell>
          <cell r="AH135">
            <v>859.03</v>
          </cell>
          <cell r="AI135">
            <v>3335.9</v>
          </cell>
          <cell r="AJ135">
            <v>0.85</v>
          </cell>
          <cell r="AK135">
            <v>0.9</v>
          </cell>
          <cell r="AL135">
            <v>3335</v>
          </cell>
        </row>
        <row r="136">
          <cell r="D136" t="str">
            <v>00011563</v>
          </cell>
          <cell r="E136" t="str">
            <v>李 莫</v>
          </cell>
          <cell r="F136">
            <v>730</v>
          </cell>
          <cell r="G136">
            <v>613</v>
          </cell>
          <cell r="H136">
            <v>2102</v>
          </cell>
          <cell r="I136">
            <v>56</v>
          </cell>
          <cell r="J136">
            <v>20</v>
          </cell>
          <cell r="K136">
            <v>0</v>
          </cell>
          <cell r="L136">
            <v>33.58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3554.58</v>
          </cell>
          <cell r="U136">
            <v>0</v>
          </cell>
          <cell r="V136">
            <v>72.2</v>
          </cell>
          <cell r="W136">
            <v>917.49</v>
          </cell>
          <cell r="X136">
            <v>13.43</v>
          </cell>
          <cell r="Y136">
            <v>0</v>
          </cell>
          <cell r="Z136">
            <v>3.65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701</v>
          </cell>
          <cell r="AF136">
            <v>0</v>
          </cell>
          <cell r="AG136">
            <v>0</v>
          </cell>
          <cell r="AH136">
            <v>1707.77</v>
          </cell>
          <cell r="AI136">
            <v>1847.71</v>
          </cell>
          <cell r="AJ136">
            <v>0.9</v>
          </cell>
          <cell r="AK136">
            <v>0.71</v>
          </cell>
          <cell r="AL136">
            <v>1847</v>
          </cell>
        </row>
        <row r="137">
          <cell r="D137" t="str">
            <v>00011566</v>
          </cell>
          <cell r="E137" t="str">
            <v>贾 嘉</v>
          </cell>
          <cell r="F137">
            <v>730</v>
          </cell>
          <cell r="G137">
            <v>673</v>
          </cell>
          <cell r="H137">
            <v>2102</v>
          </cell>
          <cell r="I137">
            <v>56</v>
          </cell>
          <cell r="J137">
            <v>20</v>
          </cell>
          <cell r="K137">
            <v>0</v>
          </cell>
          <cell r="L137">
            <v>35.08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3616.08</v>
          </cell>
          <cell r="U137">
            <v>0</v>
          </cell>
          <cell r="V137">
            <v>0</v>
          </cell>
          <cell r="W137">
            <v>65.45</v>
          </cell>
          <cell r="X137">
            <v>14.03</v>
          </cell>
          <cell r="Y137">
            <v>0</v>
          </cell>
          <cell r="Z137">
            <v>3.65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716</v>
          </cell>
          <cell r="AF137">
            <v>0</v>
          </cell>
          <cell r="AG137">
            <v>0</v>
          </cell>
          <cell r="AH137">
            <v>799.13</v>
          </cell>
          <cell r="AI137">
            <v>2817.4</v>
          </cell>
          <cell r="AJ137">
            <v>0.45</v>
          </cell>
          <cell r="AK137">
            <v>0.4</v>
          </cell>
          <cell r="AL137">
            <v>2817</v>
          </cell>
        </row>
        <row r="138">
          <cell r="D138" t="str">
            <v>00011573</v>
          </cell>
          <cell r="E138" t="str">
            <v>黄忠华</v>
          </cell>
          <cell r="F138">
            <v>850</v>
          </cell>
          <cell r="G138">
            <v>799</v>
          </cell>
          <cell r="H138">
            <v>2413</v>
          </cell>
          <cell r="I138">
            <v>56</v>
          </cell>
          <cell r="J138">
            <v>0</v>
          </cell>
          <cell r="K138">
            <v>0</v>
          </cell>
          <cell r="L138">
            <v>42.73</v>
          </cell>
          <cell r="M138">
            <v>0</v>
          </cell>
          <cell r="N138">
            <v>0</v>
          </cell>
          <cell r="O138">
            <v>60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4220.7299999999996</v>
          </cell>
          <cell r="U138">
            <v>0</v>
          </cell>
          <cell r="V138">
            <v>0</v>
          </cell>
          <cell r="W138">
            <v>233.83</v>
          </cell>
          <cell r="X138">
            <v>16.489999999999998</v>
          </cell>
          <cell r="Y138">
            <v>0</v>
          </cell>
          <cell r="Z138">
            <v>4.25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844</v>
          </cell>
          <cell r="AF138">
            <v>0</v>
          </cell>
          <cell r="AG138">
            <v>0</v>
          </cell>
          <cell r="AH138">
            <v>1098.57</v>
          </cell>
          <cell r="AI138">
            <v>3122.78</v>
          </cell>
          <cell r="AJ138">
            <v>0.62</v>
          </cell>
          <cell r="AK138">
            <v>0.78</v>
          </cell>
          <cell r="AL138">
            <v>3122</v>
          </cell>
        </row>
        <row r="139">
          <cell r="D139" t="str">
            <v>00011575</v>
          </cell>
          <cell r="E139" t="str">
            <v>黄 爽</v>
          </cell>
          <cell r="F139">
            <v>930</v>
          </cell>
          <cell r="G139">
            <v>499</v>
          </cell>
          <cell r="H139">
            <v>2376</v>
          </cell>
          <cell r="I139">
            <v>56</v>
          </cell>
          <cell r="J139">
            <v>20</v>
          </cell>
          <cell r="K139">
            <v>0</v>
          </cell>
          <cell r="L139">
            <v>35.729999999999997</v>
          </cell>
          <cell r="M139">
            <v>0</v>
          </cell>
          <cell r="N139">
            <v>0</v>
          </cell>
          <cell r="O139">
            <v>0</v>
          </cell>
          <cell r="P139">
            <v>5</v>
          </cell>
          <cell r="Q139">
            <v>0</v>
          </cell>
          <cell r="R139">
            <v>0</v>
          </cell>
          <cell r="S139">
            <v>0</v>
          </cell>
          <cell r="T139">
            <v>3921.73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3921.73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3921.73</v>
          </cell>
          <cell r="AI139">
            <v>0.13</v>
          </cell>
          <cell r="AJ139">
            <v>0.13</v>
          </cell>
          <cell r="AK139">
            <v>0.13</v>
          </cell>
          <cell r="AL139">
            <v>0</v>
          </cell>
        </row>
        <row r="140">
          <cell r="D140" t="str">
            <v>00011576</v>
          </cell>
          <cell r="E140" t="str">
            <v>罗 强</v>
          </cell>
          <cell r="F140">
            <v>1040</v>
          </cell>
          <cell r="G140">
            <v>613</v>
          </cell>
          <cell r="H140">
            <v>2413</v>
          </cell>
          <cell r="I140">
            <v>56</v>
          </cell>
          <cell r="J140">
            <v>0</v>
          </cell>
          <cell r="K140">
            <v>0</v>
          </cell>
          <cell r="L140">
            <v>41.33</v>
          </cell>
          <cell r="M140">
            <v>0</v>
          </cell>
          <cell r="N140">
            <v>0</v>
          </cell>
          <cell r="O140">
            <v>0</v>
          </cell>
          <cell r="P140">
            <v>5</v>
          </cell>
          <cell r="Q140">
            <v>0</v>
          </cell>
          <cell r="R140">
            <v>0</v>
          </cell>
          <cell r="S140">
            <v>0</v>
          </cell>
          <cell r="T140">
            <v>4168.33</v>
          </cell>
          <cell r="U140">
            <v>0</v>
          </cell>
          <cell r="V140">
            <v>0</v>
          </cell>
          <cell r="W140">
            <v>0</v>
          </cell>
          <cell r="X140">
            <v>16.53</v>
          </cell>
          <cell r="Y140">
            <v>0</v>
          </cell>
          <cell r="Z140">
            <v>5.2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830</v>
          </cell>
          <cell r="AF140">
            <v>0</v>
          </cell>
          <cell r="AG140">
            <v>0</v>
          </cell>
          <cell r="AH140">
            <v>851.73</v>
          </cell>
          <cell r="AI140">
            <v>3316.74</v>
          </cell>
          <cell r="AJ140">
            <v>0.14000000000000001</v>
          </cell>
          <cell r="AK140">
            <v>0.74</v>
          </cell>
          <cell r="AL140">
            <v>3316</v>
          </cell>
        </row>
        <row r="141">
          <cell r="D141" t="str">
            <v>00011577</v>
          </cell>
          <cell r="E141" t="str">
            <v>董 斌</v>
          </cell>
          <cell r="F141">
            <v>1420</v>
          </cell>
          <cell r="G141">
            <v>703</v>
          </cell>
          <cell r="H141">
            <v>2779</v>
          </cell>
          <cell r="I141">
            <v>56</v>
          </cell>
          <cell r="J141">
            <v>0</v>
          </cell>
          <cell r="K141">
            <v>0</v>
          </cell>
          <cell r="L141">
            <v>53.08</v>
          </cell>
          <cell r="M141">
            <v>0</v>
          </cell>
          <cell r="N141">
            <v>0</v>
          </cell>
          <cell r="O141">
            <v>0</v>
          </cell>
          <cell r="P141">
            <v>5</v>
          </cell>
          <cell r="Q141">
            <v>0</v>
          </cell>
          <cell r="R141">
            <v>0</v>
          </cell>
          <cell r="S141">
            <v>0</v>
          </cell>
          <cell r="T141">
            <v>5016.08</v>
          </cell>
          <cell r="U141">
            <v>0</v>
          </cell>
          <cell r="V141">
            <v>0</v>
          </cell>
          <cell r="W141">
            <v>0</v>
          </cell>
          <cell r="X141">
            <v>21.23</v>
          </cell>
          <cell r="Y141">
            <v>13.04</v>
          </cell>
          <cell r="Z141">
            <v>7.1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1002</v>
          </cell>
          <cell r="AF141">
            <v>0</v>
          </cell>
          <cell r="AG141">
            <v>0</v>
          </cell>
          <cell r="AH141">
            <v>1043.3699999999999</v>
          </cell>
          <cell r="AI141">
            <v>3972.94</v>
          </cell>
          <cell r="AJ141">
            <v>0.23</v>
          </cell>
          <cell r="AK141">
            <v>0.94</v>
          </cell>
          <cell r="AL141">
            <v>3972</v>
          </cell>
        </row>
        <row r="142">
          <cell r="D142" t="str">
            <v>00011578</v>
          </cell>
          <cell r="E142" t="str">
            <v>胡铁松</v>
          </cell>
          <cell r="F142">
            <v>1630</v>
          </cell>
          <cell r="G142">
            <v>1109</v>
          </cell>
          <cell r="H142">
            <v>2961</v>
          </cell>
          <cell r="I142">
            <v>56</v>
          </cell>
          <cell r="J142">
            <v>0</v>
          </cell>
          <cell r="K142">
            <v>0</v>
          </cell>
          <cell r="L142">
            <v>68.48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5824.48</v>
          </cell>
          <cell r="U142">
            <v>0</v>
          </cell>
          <cell r="V142">
            <v>0</v>
          </cell>
          <cell r="W142">
            <v>46.41</v>
          </cell>
          <cell r="X142">
            <v>27.39</v>
          </cell>
          <cell r="Y142">
            <v>31.07</v>
          </cell>
          <cell r="Z142">
            <v>8.15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1193</v>
          </cell>
          <cell r="AF142">
            <v>0</v>
          </cell>
          <cell r="AG142">
            <v>0</v>
          </cell>
          <cell r="AH142">
            <v>1306.02</v>
          </cell>
          <cell r="AI142">
            <v>4519.04</v>
          </cell>
          <cell r="AJ142">
            <v>0.57999999999999996</v>
          </cell>
          <cell r="AK142">
            <v>0.04</v>
          </cell>
          <cell r="AL142">
            <v>4519</v>
          </cell>
        </row>
        <row r="143">
          <cell r="D143" t="str">
            <v>00011579</v>
          </cell>
          <cell r="E143" t="str">
            <v>黄介生</v>
          </cell>
          <cell r="F143">
            <v>1630</v>
          </cell>
          <cell r="G143">
            <v>1154</v>
          </cell>
          <cell r="H143">
            <v>2961</v>
          </cell>
          <cell r="I143">
            <v>56</v>
          </cell>
          <cell r="J143">
            <v>0</v>
          </cell>
          <cell r="K143">
            <v>0</v>
          </cell>
          <cell r="L143">
            <v>69.599999999999994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5870.6</v>
          </cell>
          <cell r="U143">
            <v>0</v>
          </cell>
          <cell r="V143">
            <v>1064</v>
          </cell>
          <cell r="W143">
            <v>98.17</v>
          </cell>
          <cell r="X143">
            <v>27.84</v>
          </cell>
          <cell r="Y143">
            <v>32.07</v>
          </cell>
          <cell r="Z143">
            <v>8.15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1204</v>
          </cell>
          <cell r="AF143">
            <v>0</v>
          </cell>
          <cell r="AG143">
            <v>0</v>
          </cell>
          <cell r="AH143">
            <v>2434.23</v>
          </cell>
          <cell r="AI143">
            <v>3436.68</v>
          </cell>
          <cell r="AJ143">
            <v>0.31</v>
          </cell>
          <cell r="AK143">
            <v>0.68</v>
          </cell>
          <cell r="AL143">
            <v>3436</v>
          </cell>
        </row>
        <row r="144">
          <cell r="D144" t="str">
            <v>00011580</v>
          </cell>
          <cell r="E144" t="str">
            <v>杨金忠</v>
          </cell>
          <cell r="F144">
            <v>1900</v>
          </cell>
          <cell r="G144">
            <v>1590</v>
          </cell>
          <cell r="H144">
            <v>3108</v>
          </cell>
          <cell r="I144">
            <v>56</v>
          </cell>
          <cell r="J144">
            <v>0</v>
          </cell>
          <cell r="K144">
            <v>0</v>
          </cell>
          <cell r="L144">
            <v>87.25</v>
          </cell>
          <cell r="M144">
            <v>600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7341.25</v>
          </cell>
          <cell r="U144">
            <v>0</v>
          </cell>
          <cell r="V144">
            <v>51.3</v>
          </cell>
          <cell r="W144">
            <v>101.15</v>
          </cell>
          <cell r="X144">
            <v>34.9</v>
          </cell>
          <cell r="Y144">
            <v>0</v>
          </cell>
          <cell r="Z144">
            <v>9.5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1369</v>
          </cell>
          <cell r="AF144">
            <v>0</v>
          </cell>
          <cell r="AG144">
            <v>0</v>
          </cell>
          <cell r="AH144">
            <v>1565.85</v>
          </cell>
          <cell r="AI144">
            <v>5776.13</v>
          </cell>
          <cell r="AJ144">
            <v>0.73</v>
          </cell>
          <cell r="AK144">
            <v>0.13</v>
          </cell>
          <cell r="AL144">
            <v>5776</v>
          </cell>
        </row>
        <row r="145">
          <cell r="D145" t="str">
            <v>00011582</v>
          </cell>
          <cell r="E145" t="str">
            <v>蔡树英</v>
          </cell>
          <cell r="F145">
            <v>1630</v>
          </cell>
          <cell r="G145">
            <v>1334</v>
          </cell>
          <cell r="H145">
            <v>2961</v>
          </cell>
          <cell r="I145">
            <v>56</v>
          </cell>
          <cell r="J145">
            <v>20</v>
          </cell>
          <cell r="K145">
            <v>0</v>
          </cell>
          <cell r="L145">
            <v>74.099999999999994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6075.1</v>
          </cell>
          <cell r="U145">
            <v>0</v>
          </cell>
          <cell r="V145">
            <v>0</v>
          </cell>
          <cell r="W145">
            <v>0</v>
          </cell>
          <cell r="X145">
            <v>29.64</v>
          </cell>
          <cell r="Y145">
            <v>36.67</v>
          </cell>
          <cell r="Z145">
            <v>8.15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1249</v>
          </cell>
          <cell r="AF145">
            <v>0</v>
          </cell>
          <cell r="AG145">
            <v>0</v>
          </cell>
          <cell r="AH145">
            <v>1323.46</v>
          </cell>
          <cell r="AI145">
            <v>4751.8900000000003</v>
          </cell>
          <cell r="AJ145">
            <v>0.25</v>
          </cell>
          <cell r="AK145">
            <v>0.89</v>
          </cell>
          <cell r="AL145">
            <v>4751</v>
          </cell>
        </row>
        <row r="146">
          <cell r="D146" t="str">
            <v>00011583</v>
          </cell>
          <cell r="E146" t="str">
            <v>邵东国</v>
          </cell>
          <cell r="F146">
            <v>1630</v>
          </cell>
          <cell r="G146">
            <v>984</v>
          </cell>
          <cell r="H146">
            <v>2961</v>
          </cell>
          <cell r="I146">
            <v>56</v>
          </cell>
          <cell r="J146">
            <v>0</v>
          </cell>
          <cell r="K146">
            <v>0</v>
          </cell>
          <cell r="L146">
            <v>65.349999999999994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5696.35</v>
          </cell>
          <cell r="U146">
            <v>0</v>
          </cell>
          <cell r="V146">
            <v>79.8</v>
          </cell>
          <cell r="W146">
            <v>47.6</v>
          </cell>
          <cell r="X146">
            <v>26.14</v>
          </cell>
          <cell r="Y146">
            <v>28.29</v>
          </cell>
          <cell r="Z146">
            <v>8.15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1162</v>
          </cell>
          <cell r="AF146">
            <v>0</v>
          </cell>
          <cell r="AG146">
            <v>0</v>
          </cell>
          <cell r="AH146">
            <v>1351.98</v>
          </cell>
          <cell r="AI146">
            <v>4345.1000000000004</v>
          </cell>
          <cell r="AJ146">
            <v>0.73</v>
          </cell>
          <cell r="AK146">
            <v>0.1</v>
          </cell>
          <cell r="AL146">
            <v>4345</v>
          </cell>
        </row>
        <row r="147">
          <cell r="D147" t="str">
            <v>00011585</v>
          </cell>
          <cell r="E147" t="str">
            <v>陈维宁</v>
          </cell>
          <cell r="F147">
            <v>680</v>
          </cell>
          <cell r="G147">
            <v>799</v>
          </cell>
          <cell r="H147">
            <v>2065</v>
          </cell>
          <cell r="I147">
            <v>56</v>
          </cell>
          <cell r="J147">
            <v>0</v>
          </cell>
          <cell r="K147">
            <v>0</v>
          </cell>
          <cell r="L147">
            <v>36.979999999999997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3636.98</v>
          </cell>
          <cell r="U147">
            <v>0</v>
          </cell>
          <cell r="V147">
            <v>0</v>
          </cell>
          <cell r="W147">
            <v>0</v>
          </cell>
          <cell r="X147">
            <v>14.79</v>
          </cell>
          <cell r="Y147">
            <v>0</v>
          </cell>
          <cell r="Z147">
            <v>3.4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729</v>
          </cell>
          <cell r="AF147">
            <v>0</v>
          </cell>
          <cell r="AG147">
            <v>0</v>
          </cell>
          <cell r="AH147">
            <v>747.19</v>
          </cell>
          <cell r="AI147">
            <v>2890.75</v>
          </cell>
          <cell r="AJ147">
            <v>0.96</v>
          </cell>
          <cell r="AK147">
            <v>0.75</v>
          </cell>
          <cell r="AL147">
            <v>2890</v>
          </cell>
        </row>
        <row r="148">
          <cell r="D148" t="str">
            <v>00011586</v>
          </cell>
          <cell r="E148" t="str">
            <v>崔远来</v>
          </cell>
          <cell r="F148">
            <v>1630</v>
          </cell>
          <cell r="G148">
            <v>944</v>
          </cell>
          <cell r="H148">
            <v>2961</v>
          </cell>
          <cell r="I148">
            <v>56</v>
          </cell>
          <cell r="J148">
            <v>0</v>
          </cell>
          <cell r="K148">
            <v>0</v>
          </cell>
          <cell r="L148">
            <v>64.349999999999994</v>
          </cell>
          <cell r="M148">
            <v>0</v>
          </cell>
          <cell r="N148">
            <v>0</v>
          </cell>
          <cell r="O148">
            <v>0</v>
          </cell>
          <cell r="P148">
            <v>5</v>
          </cell>
          <cell r="Q148">
            <v>0</v>
          </cell>
          <cell r="R148">
            <v>0</v>
          </cell>
          <cell r="S148">
            <v>0</v>
          </cell>
          <cell r="T148">
            <v>5660.35</v>
          </cell>
          <cell r="U148">
            <v>0</v>
          </cell>
          <cell r="V148">
            <v>85.5</v>
          </cell>
          <cell r="W148">
            <v>99.96</v>
          </cell>
          <cell r="X148">
            <v>25.74</v>
          </cell>
          <cell r="Y148">
            <v>27.4</v>
          </cell>
          <cell r="Z148">
            <v>8.15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1152</v>
          </cell>
          <cell r="AF148">
            <v>0</v>
          </cell>
          <cell r="AG148">
            <v>0</v>
          </cell>
          <cell r="AH148">
            <v>1398.75</v>
          </cell>
          <cell r="AI148">
            <v>4261.83</v>
          </cell>
          <cell r="AJ148">
            <v>0.23</v>
          </cell>
          <cell r="AK148">
            <v>0.83</v>
          </cell>
          <cell r="AL148">
            <v>4261</v>
          </cell>
        </row>
        <row r="149">
          <cell r="D149" t="str">
            <v>00011587</v>
          </cell>
          <cell r="E149" t="str">
            <v>王修贵</v>
          </cell>
          <cell r="F149">
            <v>1420</v>
          </cell>
          <cell r="G149">
            <v>984</v>
          </cell>
          <cell r="H149">
            <v>2779</v>
          </cell>
          <cell r="I149">
            <v>56</v>
          </cell>
          <cell r="J149">
            <v>0</v>
          </cell>
          <cell r="K149">
            <v>0</v>
          </cell>
          <cell r="L149">
            <v>60.1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5299.1</v>
          </cell>
          <cell r="U149">
            <v>0</v>
          </cell>
          <cell r="V149">
            <v>20.9</v>
          </cell>
          <cell r="W149">
            <v>74.97</v>
          </cell>
          <cell r="X149">
            <v>24.04</v>
          </cell>
          <cell r="Y149">
            <v>19.260000000000002</v>
          </cell>
          <cell r="Z149">
            <v>7.1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1073</v>
          </cell>
          <cell r="AF149">
            <v>0</v>
          </cell>
          <cell r="AG149">
            <v>0</v>
          </cell>
          <cell r="AH149">
            <v>1219.27</v>
          </cell>
          <cell r="AI149">
            <v>4080.1</v>
          </cell>
          <cell r="AJ149">
            <v>0.27</v>
          </cell>
          <cell r="AK149">
            <v>0.1</v>
          </cell>
          <cell r="AL149">
            <v>4080</v>
          </cell>
        </row>
        <row r="150">
          <cell r="D150" t="str">
            <v>00011588</v>
          </cell>
          <cell r="E150" t="str">
            <v>罗金耀</v>
          </cell>
          <cell r="F150">
            <v>1630</v>
          </cell>
          <cell r="G150">
            <v>1289</v>
          </cell>
          <cell r="H150">
            <v>2961</v>
          </cell>
          <cell r="I150">
            <v>56</v>
          </cell>
          <cell r="J150">
            <v>0</v>
          </cell>
          <cell r="K150">
            <v>0</v>
          </cell>
          <cell r="L150">
            <v>72.98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6008.98</v>
          </cell>
          <cell r="U150">
            <v>0</v>
          </cell>
          <cell r="V150">
            <v>79.8</v>
          </cell>
          <cell r="W150">
            <v>80.33</v>
          </cell>
          <cell r="X150">
            <v>29.19</v>
          </cell>
          <cell r="Y150">
            <v>35.06</v>
          </cell>
          <cell r="Z150">
            <v>8.15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1238</v>
          </cell>
          <cell r="AF150">
            <v>0</v>
          </cell>
          <cell r="AG150">
            <v>0</v>
          </cell>
          <cell r="AH150">
            <v>1470.53</v>
          </cell>
          <cell r="AI150">
            <v>4538.67</v>
          </cell>
          <cell r="AJ150">
            <v>0.22</v>
          </cell>
          <cell r="AK150">
            <v>0.67</v>
          </cell>
          <cell r="AL150">
            <v>4538</v>
          </cell>
        </row>
        <row r="151">
          <cell r="D151" t="str">
            <v>00011590</v>
          </cell>
          <cell r="E151" t="str">
            <v>洪 林</v>
          </cell>
          <cell r="F151">
            <v>1420</v>
          </cell>
          <cell r="G151">
            <v>984</v>
          </cell>
          <cell r="H151">
            <v>2779</v>
          </cell>
          <cell r="I151">
            <v>56</v>
          </cell>
          <cell r="J151">
            <v>20</v>
          </cell>
          <cell r="K151">
            <v>0</v>
          </cell>
          <cell r="L151">
            <v>60.1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5319.1</v>
          </cell>
          <cell r="U151">
            <v>0</v>
          </cell>
          <cell r="V151">
            <v>0</v>
          </cell>
          <cell r="W151">
            <v>0</v>
          </cell>
          <cell r="X151">
            <v>24.04</v>
          </cell>
          <cell r="Y151">
            <v>19.86</v>
          </cell>
          <cell r="Z151">
            <v>7.1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1073</v>
          </cell>
          <cell r="AF151">
            <v>0</v>
          </cell>
          <cell r="AG151">
            <v>0</v>
          </cell>
          <cell r="AH151">
            <v>1124</v>
          </cell>
          <cell r="AI151">
            <v>4195.45</v>
          </cell>
          <cell r="AJ151">
            <v>0.35</v>
          </cell>
          <cell r="AK151">
            <v>0.45</v>
          </cell>
          <cell r="AL151">
            <v>4195</v>
          </cell>
        </row>
        <row r="152">
          <cell r="D152" t="str">
            <v>00011591</v>
          </cell>
          <cell r="E152" t="str">
            <v>陈秀红</v>
          </cell>
          <cell r="F152">
            <v>730</v>
          </cell>
          <cell r="G152">
            <v>499</v>
          </cell>
          <cell r="H152">
            <v>2102</v>
          </cell>
          <cell r="I152">
            <v>56</v>
          </cell>
          <cell r="J152">
            <v>20</v>
          </cell>
          <cell r="K152">
            <v>0</v>
          </cell>
          <cell r="L152">
            <v>30.73</v>
          </cell>
          <cell r="M152">
            <v>0</v>
          </cell>
          <cell r="N152">
            <v>0</v>
          </cell>
          <cell r="O152">
            <v>0</v>
          </cell>
          <cell r="P152">
            <v>5</v>
          </cell>
          <cell r="Q152">
            <v>0</v>
          </cell>
          <cell r="R152">
            <v>0</v>
          </cell>
          <cell r="S152">
            <v>0</v>
          </cell>
          <cell r="T152">
            <v>3442.73</v>
          </cell>
          <cell r="U152">
            <v>0</v>
          </cell>
          <cell r="V152">
            <v>0</v>
          </cell>
          <cell r="W152">
            <v>0</v>
          </cell>
          <cell r="X152">
            <v>12.29</v>
          </cell>
          <cell r="Y152">
            <v>0</v>
          </cell>
          <cell r="Z152">
            <v>3.65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672</v>
          </cell>
          <cell r="AF152">
            <v>0</v>
          </cell>
          <cell r="AG152">
            <v>0</v>
          </cell>
          <cell r="AH152">
            <v>687.94</v>
          </cell>
          <cell r="AI152">
            <v>2755.6</v>
          </cell>
          <cell r="AJ152">
            <v>0.81</v>
          </cell>
          <cell r="AK152">
            <v>0.6</v>
          </cell>
          <cell r="AL152">
            <v>2755</v>
          </cell>
        </row>
        <row r="153">
          <cell r="D153" t="str">
            <v>00011592</v>
          </cell>
          <cell r="E153" t="str">
            <v>邱元锋</v>
          </cell>
          <cell r="F153">
            <v>730</v>
          </cell>
          <cell r="G153">
            <v>471</v>
          </cell>
          <cell r="H153">
            <v>2102</v>
          </cell>
          <cell r="I153">
            <v>56</v>
          </cell>
          <cell r="J153">
            <v>0</v>
          </cell>
          <cell r="K153">
            <v>0</v>
          </cell>
          <cell r="L153">
            <v>30.03</v>
          </cell>
          <cell r="M153">
            <v>0</v>
          </cell>
          <cell r="N153">
            <v>0</v>
          </cell>
          <cell r="O153">
            <v>0</v>
          </cell>
          <cell r="P153">
            <v>5</v>
          </cell>
          <cell r="Q153">
            <v>0</v>
          </cell>
          <cell r="R153">
            <v>0</v>
          </cell>
          <cell r="S153">
            <v>0</v>
          </cell>
          <cell r="T153">
            <v>3394.03</v>
          </cell>
          <cell r="U153">
            <v>0</v>
          </cell>
          <cell r="V153">
            <v>0</v>
          </cell>
          <cell r="W153">
            <v>0</v>
          </cell>
          <cell r="X153">
            <v>12.01</v>
          </cell>
          <cell r="Y153">
            <v>0</v>
          </cell>
          <cell r="Z153">
            <v>3.65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665</v>
          </cell>
          <cell r="AF153">
            <v>0</v>
          </cell>
          <cell r="AG153">
            <v>0</v>
          </cell>
          <cell r="AH153">
            <v>680.66</v>
          </cell>
          <cell r="AI153">
            <v>2713.45</v>
          </cell>
          <cell r="AJ153">
            <v>0.08</v>
          </cell>
          <cell r="AK153">
            <v>0.45</v>
          </cell>
          <cell r="AL153">
            <v>2713</v>
          </cell>
        </row>
        <row r="154">
          <cell r="D154" t="str">
            <v>00011593</v>
          </cell>
          <cell r="E154" t="str">
            <v>伍靖伟</v>
          </cell>
          <cell r="F154">
            <v>930</v>
          </cell>
          <cell r="G154">
            <v>471</v>
          </cell>
          <cell r="H154">
            <v>2376</v>
          </cell>
          <cell r="I154">
            <v>56</v>
          </cell>
          <cell r="J154">
            <v>0</v>
          </cell>
          <cell r="K154">
            <v>0</v>
          </cell>
          <cell r="L154">
            <v>35.03</v>
          </cell>
          <cell r="M154">
            <v>0</v>
          </cell>
          <cell r="N154">
            <v>0</v>
          </cell>
          <cell r="O154">
            <v>0</v>
          </cell>
          <cell r="P154">
            <v>5</v>
          </cell>
          <cell r="Q154">
            <v>0</v>
          </cell>
          <cell r="R154">
            <v>0</v>
          </cell>
          <cell r="S154">
            <v>0</v>
          </cell>
          <cell r="T154">
            <v>3873.03</v>
          </cell>
          <cell r="U154">
            <v>0</v>
          </cell>
          <cell r="V154">
            <v>0</v>
          </cell>
          <cell r="W154">
            <v>0</v>
          </cell>
          <cell r="X154">
            <v>14.01</v>
          </cell>
          <cell r="Y154">
            <v>0</v>
          </cell>
          <cell r="Z154">
            <v>4.6500000000000004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761</v>
          </cell>
          <cell r="AF154">
            <v>0</v>
          </cell>
          <cell r="AG154">
            <v>0</v>
          </cell>
          <cell r="AH154">
            <v>779.66</v>
          </cell>
          <cell r="AI154">
            <v>3093.38</v>
          </cell>
          <cell r="AJ154">
            <v>0.01</v>
          </cell>
          <cell r="AK154">
            <v>0.38</v>
          </cell>
          <cell r="AL154">
            <v>3093</v>
          </cell>
        </row>
        <row r="155">
          <cell r="D155" t="str">
            <v>00011595</v>
          </cell>
          <cell r="E155" t="str">
            <v>唐友生</v>
          </cell>
          <cell r="F155">
            <v>590</v>
          </cell>
          <cell r="G155">
            <v>643</v>
          </cell>
          <cell r="H155">
            <v>1882</v>
          </cell>
          <cell r="I155">
            <v>56</v>
          </cell>
          <cell r="J155">
            <v>0</v>
          </cell>
          <cell r="K155">
            <v>0</v>
          </cell>
          <cell r="L155">
            <v>30.83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3201.83</v>
          </cell>
          <cell r="U155">
            <v>0</v>
          </cell>
          <cell r="V155">
            <v>9.5</v>
          </cell>
          <cell r="W155">
            <v>280.83999999999997</v>
          </cell>
          <cell r="X155">
            <v>12.33</v>
          </cell>
          <cell r="Y155">
            <v>0</v>
          </cell>
          <cell r="Z155">
            <v>2.95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637</v>
          </cell>
          <cell r="AF155">
            <v>0</v>
          </cell>
          <cell r="AG155">
            <v>0</v>
          </cell>
          <cell r="AH155">
            <v>942.62</v>
          </cell>
          <cell r="AI155">
            <v>2259.6999999999998</v>
          </cell>
          <cell r="AJ155">
            <v>0.49</v>
          </cell>
          <cell r="AK155">
            <v>0.7</v>
          </cell>
          <cell r="AL155">
            <v>2259</v>
          </cell>
        </row>
        <row r="156">
          <cell r="D156" t="str">
            <v>00011596</v>
          </cell>
          <cell r="E156" t="str">
            <v>覃奇志</v>
          </cell>
          <cell r="F156">
            <v>615</v>
          </cell>
          <cell r="G156">
            <v>363</v>
          </cell>
          <cell r="H156">
            <v>1919</v>
          </cell>
          <cell r="I156">
            <v>56</v>
          </cell>
          <cell r="J156">
            <v>0</v>
          </cell>
          <cell r="K156">
            <v>0</v>
          </cell>
          <cell r="L156">
            <v>24.45</v>
          </cell>
          <cell r="M156">
            <v>0</v>
          </cell>
          <cell r="N156">
            <v>0</v>
          </cell>
          <cell r="O156">
            <v>0</v>
          </cell>
          <cell r="P156">
            <v>5</v>
          </cell>
          <cell r="Q156">
            <v>0</v>
          </cell>
          <cell r="R156">
            <v>0</v>
          </cell>
          <cell r="S156">
            <v>0</v>
          </cell>
          <cell r="T156">
            <v>2982.45</v>
          </cell>
          <cell r="U156">
            <v>0</v>
          </cell>
          <cell r="V156">
            <v>0</v>
          </cell>
          <cell r="W156">
            <v>0</v>
          </cell>
          <cell r="X156">
            <v>9.7799999999999994</v>
          </cell>
          <cell r="Y156">
            <v>0</v>
          </cell>
          <cell r="Z156">
            <v>3.08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576</v>
          </cell>
          <cell r="AF156">
            <v>0</v>
          </cell>
          <cell r="AG156">
            <v>0</v>
          </cell>
          <cell r="AH156">
            <v>588.86</v>
          </cell>
          <cell r="AI156">
            <v>2394.1</v>
          </cell>
          <cell r="AJ156">
            <v>0.51</v>
          </cell>
          <cell r="AK156">
            <v>0.1</v>
          </cell>
          <cell r="AL156">
            <v>2394</v>
          </cell>
        </row>
        <row r="157">
          <cell r="D157" t="str">
            <v>00011597</v>
          </cell>
          <cell r="E157" t="str">
            <v>穆秀英</v>
          </cell>
          <cell r="F157">
            <v>615</v>
          </cell>
          <cell r="G157">
            <v>556</v>
          </cell>
          <cell r="H157">
            <v>1919</v>
          </cell>
          <cell r="I157">
            <v>56</v>
          </cell>
          <cell r="J157">
            <v>20</v>
          </cell>
          <cell r="K157">
            <v>0</v>
          </cell>
          <cell r="L157">
            <v>29.28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3195.28</v>
          </cell>
          <cell r="U157">
            <v>0</v>
          </cell>
          <cell r="V157">
            <v>106.4</v>
          </cell>
          <cell r="W157">
            <v>19.04</v>
          </cell>
          <cell r="X157">
            <v>11.71</v>
          </cell>
          <cell r="Y157">
            <v>0</v>
          </cell>
          <cell r="Z157">
            <v>3.08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625</v>
          </cell>
          <cell r="AF157">
            <v>0</v>
          </cell>
          <cell r="AG157">
            <v>0</v>
          </cell>
          <cell r="AH157">
            <v>765.23</v>
          </cell>
          <cell r="AI157">
            <v>2430.44</v>
          </cell>
          <cell r="AJ157">
            <v>0.39</v>
          </cell>
          <cell r="AK157">
            <v>0.44</v>
          </cell>
          <cell r="AL157">
            <v>2430</v>
          </cell>
        </row>
        <row r="158">
          <cell r="D158" t="str">
            <v>00011600</v>
          </cell>
          <cell r="E158" t="str">
            <v>王富庆</v>
          </cell>
          <cell r="F158">
            <v>1180</v>
          </cell>
          <cell r="G158">
            <v>984</v>
          </cell>
          <cell r="H158">
            <v>2468</v>
          </cell>
          <cell r="I158">
            <v>56</v>
          </cell>
          <cell r="J158">
            <v>0</v>
          </cell>
          <cell r="K158">
            <v>0</v>
          </cell>
          <cell r="L158">
            <v>54.1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4742.1000000000004</v>
          </cell>
          <cell r="U158">
            <v>0</v>
          </cell>
          <cell r="V158">
            <v>499.7</v>
          </cell>
          <cell r="W158">
            <v>213.6</v>
          </cell>
          <cell r="X158">
            <v>21.64</v>
          </cell>
          <cell r="Y158">
            <v>5.98</v>
          </cell>
          <cell r="Z158">
            <v>5.9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967</v>
          </cell>
          <cell r="AF158">
            <v>0</v>
          </cell>
          <cell r="AG158">
            <v>0</v>
          </cell>
          <cell r="AH158">
            <v>1713.82</v>
          </cell>
          <cell r="AI158">
            <v>3029.26</v>
          </cell>
          <cell r="AJ158">
            <v>0.98</v>
          </cell>
          <cell r="AK158">
            <v>0.26</v>
          </cell>
          <cell r="AL158">
            <v>3029</v>
          </cell>
        </row>
        <row r="159">
          <cell r="D159" t="str">
            <v>00011601</v>
          </cell>
          <cell r="E159" t="str">
            <v>冯晓波</v>
          </cell>
          <cell r="F159">
            <v>730</v>
          </cell>
          <cell r="G159">
            <v>499</v>
          </cell>
          <cell r="H159">
            <v>2102</v>
          </cell>
          <cell r="I159">
            <v>56</v>
          </cell>
          <cell r="J159">
            <v>0</v>
          </cell>
          <cell r="K159">
            <v>0</v>
          </cell>
          <cell r="L159">
            <v>30.73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3417.73</v>
          </cell>
          <cell r="U159">
            <v>0</v>
          </cell>
          <cell r="V159">
            <v>746.7</v>
          </cell>
          <cell r="W159">
            <v>53.55</v>
          </cell>
          <cell r="X159">
            <v>12.29</v>
          </cell>
          <cell r="Y159">
            <v>0</v>
          </cell>
          <cell r="Z159">
            <v>3.65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672</v>
          </cell>
          <cell r="AF159">
            <v>0</v>
          </cell>
          <cell r="AG159">
            <v>0</v>
          </cell>
          <cell r="AH159">
            <v>1488.19</v>
          </cell>
          <cell r="AI159">
            <v>1930.27</v>
          </cell>
          <cell r="AJ159">
            <v>0.73</v>
          </cell>
          <cell r="AK159">
            <v>0.27</v>
          </cell>
          <cell r="AL159">
            <v>1930</v>
          </cell>
        </row>
        <row r="160">
          <cell r="D160" t="str">
            <v>00011602</v>
          </cell>
          <cell r="E160" t="str">
            <v>李长城</v>
          </cell>
          <cell r="F160">
            <v>1040</v>
          </cell>
          <cell r="G160">
            <v>1109</v>
          </cell>
          <cell r="H160">
            <v>2413</v>
          </cell>
          <cell r="I160">
            <v>56</v>
          </cell>
          <cell r="J160">
            <v>0</v>
          </cell>
          <cell r="K160">
            <v>0</v>
          </cell>
          <cell r="L160">
            <v>53.73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4671.7299999999996</v>
          </cell>
          <cell r="U160">
            <v>0</v>
          </cell>
          <cell r="V160">
            <v>0</v>
          </cell>
          <cell r="W160">
            <v>0</v>
          </cell>
          <cell r="X160">
            <v>21.49</v>
          </cell>
          <cell r="Y160">
            <v>4.28</v>
          </cell>
          <cell r="Z160">
            <v>5.2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954</v>
          </cell>
          <cell r="AF160">
            <v>0</v>
          </cell>
          <cell r="AG160">
            <v>0</v>
          </cell>
          <cell r="AH160">
            <v>984.97</v>
          </cell>
          <cell r="AI160">
            <v>3687.58</v>
          </cell>
          <cell r="AJ160">
            <v>0.82</v>
          </cell>
          <cell r="AK160">
            <v>0.57999999999999996</v>
          </cell>
          <cell r="AL160">
            <v>3687</v>
          </cell>
        </row>
        <row r="161">
          <cell r="D161" t="str">
            <v>00011603</v>
          </cell>
          <cell r="E161" t="str">
            <v>刘川顺</v>
          </cell>
          <cell r="F161">
            <v>1420</v>
          </cell>
          <cell r="G161">
            <v>1024</v>
          </cell>
          <cell r="H161">
            <v>2779</v>
          </cell>
          <cell r="I161">
            <v>56</v>
          </cell>
          <cell r="J161">
            <v>0</v>
          </cell>
          <cell r="K161">
            <v>0</v>
          </cell>
          <cell r="L161">
            <v>61.1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5340.1</v>
          </cell>
          <cell r="U161">
            <v>0</v>
          </cell>
          <cell r="V161">
            <v>66.5</v>
          </cell>
          <cell r="W161">
            <v>137.44</v>
          </cell>
          <cell r="X161">
            <v>24.44</v>
          </cell>
          <cell r="Y161">
            <v>20.149999999999999</v>
          </cell>
          <cell r="Z161">
            <v>7.1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1083</v>
          </cell>
          <cell r="AF161">
            <v>0</v>
          </cell>
          <cell r="AG161">
            <v>0</v>
          </cell>
          <cell r="AH161">
            <v>1338.63</v>
          </cell>
          <cell r="AI161">
            <v>4001.65</v>
          </cell>
          <cell r="AJ161">
            <v>0.18</v>
          </cell>
          <cell r="AK161">
            <v>0.65</v>
          </cell>
          <cell r="AL161">
            <v>4001</v>
          </cell>
        </row>
        <row r="162">
          <cell r="D162" t="str">
            <v>00011606</v>
          </cell>
          <cell r="E162" t="str">
            <v>阮新建</v>
          </cell>
          <cell r="F162">
            <v>1420</v>
          </cell>
          <cell r="G162">
            <v>984</v>
          </cell>
          <cell r="H162">
            <v>2779</v>
          </cell>
          <cell r="I162">
            <v>56</v>
          </cell>
          <cell r="J162">
            <v>0</v>
          </cell>
          <cell r="K162">
            <v>0</v>
          </cell>
          <cell r="L162">
            <v>60.1</v>
          </cell>
          <cell r="M162">
            <v>0</v>
          </cell>
          <cell r="N162">
            <v>3000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8299.1</v>
          </cell>
          <cell r="U162">
            <v>0</v>
          </cell>
          <cell r="V162">
            <v>70.3</v>
          </cell>
          <cell r="W162">
            <v>166.6</v>
          </cell>
          <cell r="X162">
            <v>24.04</v>
          </cell>
          <cell r="Y162">
            <v>19.260000000000002</v>
          </cell>
          <cell r="Z162">
            <v>7.1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1073</v>
          </cell>
          <cell r="AF162">
            <v>0</v>
          </cell>
          <cell r="AG162">
            <v>0</v>
          </cell>
          <cell r="AH162">
            <v>1360.3</v>
          </cell>
          <cell r="AI162">
            <v>6939.3</v>
          </cell>
          <cell r="AJ162">
            <v>0.5</v>
          </cell>
          <cell r="AK162">
            <v>0.3</v>
          </cell>
          <cell r="AL162">
            <v>6939</v>
          </cell>
        </row>
        <row r="163">
          <cell r="D163" t="str">
            <v>00011608</v>
          </cell>
          <cell r="E163" t="str">
            <v>赵荣安</v>
          </cell>
          <cell r="F163">
            <v>730</v>
          </cell>
          <cell r="G163">
            <v>799</v>
          </cell>
          <cell r="H163">
            <v>2102</v>
          </cell>
          <cell r="I163">
            <v>56</v>
          </cell>
          <cell r="J163">
            <v>0</v>
          </cell>
          <cell r="K163">
            <v>0</v>
          </cell>
          <cell r="L163">
            <v>38.229999999999997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3725.23</v>
          </cell>
          <cell r="U163">
            <v>0</v>
          </cell>
          <cell r="V163">
            <v>0</v>
          </cell>
          <cell r="W163">
            <v>0</v>
          </cell>
          <cell r="X163">
            <v>15.29</v>
          </cell>
          <cell r="Y163">
            <v>0</v>
          </cell>
          <cell r="Z163">
            <v>3.65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747</v>
          </cell>
          <cell r="AF163">
            <v>0</v>
          </cell>
          <cell r="AG163">
            <v>0</v>
          </cell>
          <cell r="AH163">
            <v>765.94</v>
          </cell>
          <cell r="AI163">
            <v>2960.26</v>
          </cell>
          <cell r="AJ163">
            <v>0.97</v>
          </cell>
          <cell r="AK163">
            <v>0.26</v>
          </cell>
          <cell r="AL163">
            <v>2960</v>
          </cell>
        </row>
        <row r="164">
          <cell r="D164" t="str">
            <v>00011609</v>
          </cell>
          <cell r="E164" t="str">
            <v>马有国</v>
          </cell>
          <cell r="F164">
            <v>1180</v>
          </cell>
          <cell r="G164">
            <v>1024</v>
          </cell>
          <cell r="H164">
            <v>2468</v>
          </cell>
          <cell r="I164">
            <v>56</v>
          </cell>
          <cell r="J164">
            <v>0</v>
          </cell>
          <cell r="K164">
            <v>0</v>
          </cell>
          <cell r="L164">
            <v>55.1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4783.1000000000004</v>
          </cell>
          <cell r="U164">
            <v>0</v>
          </cell>
          <cell r="V164">
            <v>57</v>
          </cell>
          <cell r="W164">
            <v>0</v>
          </cell>
          <cell r="X164">
            <v>22.04</v>
          </cell>
          <cell r="Y164">
            <v>6.87</v>
          </cell>
          <cell r="Z164">
            <v>5.9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977</v>
          </cell>
          <cell r="AF164">
            <v>0</v>
          </cell>
          <cell r="AG164">
            <v>0</v>
          </cell>
          <cell r="AH164">
            <v>1068.81</v>
          </cell>
          <cell r="AI164">
            <v>3714.52</v>
          </cell>
          <cell r="AJ164">
            <v>0.23</v>
          </cell>
          <cell r="AK164">
            <v>0.52</v>
          </cell>
          <cell r="AL164">
            <v>3714</v>
          </cell>
        </row>
        <row r="165">
          <cell r="D165" t="str">
            <v>00011610</v>
          </cell>
          <cell r="E165" t="str">
            <v>石自堂</v>
          </cell>
          <cell r="F165">
            <v>1420</v>
          </cell>
          <cell r="G165">
            <v>1154</v>
          </cell>
          <cell r="H165">
            <v>2779</v>
          </cell>
          <cell r="I165">
            <v>56</v>
          </cell>
          <cell r="J165">
            <v>0</v>
          </cell>
          <cell r="K165">
            <v>0</v>
          </cell>
          <cell r="L165">
            <v>64.349999999999994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5473.35</v>
          </cell>
          <cell r="U165">
            <v>0</v>
          </cell>
          <cell r="V165">
            <v>148.19999999999999</v>
          </cell>
          <cell r="W165">
            <v>0</v>
          </cell>
          <cell r="X165">
            <v>25.74</v>
          </cell>
          <cell r="Y165">
            <v>23.05</v>
          </cell>
          <cell r="Z165">
            <v>7.1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1115</v>
          </cell>
          <cell r="AF165">
            <v>0</v>
          </cell>
          <cell r="AG165">
            <v>0</v>
          </cell>
          <cell r="AH165">
            <v>1319.09</v>
          </cell>
          <cell r="AI165">
            <v>4154.5</v>
          </cell>
          <cell r="AJ165">
            <v>0.24</v>
          </cell>
          <cell r="AK165">
            <v>0.5</v>
          </cell>
          <cell r="AL165">
            <v>4154</v>
          </cell>
        </row>
        <row r="166">
          <cell r="D166" t="str">
            <v>00011611</v>
          </cell>
          <cell r="E166" t="str">
            <v>夏富洲</v>
          </cell>
          <cell r="F166">
            <v>1180</v>
          </cell>
          <cell r="G166">
            <v>944</v>
          </cell>
          <cell r="H166">
            <v>2468</v>
          </cell>
          <cell r="I166">
            <v>56</v>
          </cell>
          <cell r="J166">
            <v>0</v>
          </cell>
          <cell r="K166">
            <v>0</v>
          </cell>
          <cell r="L166">
            <v>53.1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4701.1000000000004</v>
          </cell>
          <cell r="U166">
            <v>0</v>
          </cell>
          <cell r="V166">
            <v>123.5</v>
          </cell>
          <cell r="W166">
            <v>0</v>
          </cell>
          <cell r="X166">
            <v>21.24</v>
          </cell>
          <cell r="Y166">
            <v>5.09</v>
          </cell>
          <cell r="Z166">
            <v>5.9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957</v>
          </cell>
          <cell r="AF166">
            <v>0</v>
          </cell>
          <cell r="AG166">
            <v>0</v>
          </cell>
          <cell r="AH166">
            <v>1112.73</v>
          </cell>
          <cell r="AI166">
            <v>3589.3</v>
          </cell>
          <cell r="AJ166">
            <v>0.93</v>
          </cell>
          <cell r="AK166">
            <v>0.3</v>
          </cell>
          <cell r="AL166">
            <v>3589</v>
          </cell>
        </row>
        <row r="167">
          <cell r="D167" t="str">
            <v>00011612</v>
          </cell>
          <cell r="E167" t="str">
            <v>田兴参</v>
          </cell>
          <cell r="F167">
            <v>930</v>
          </cell>
          <cell r="G167">
            <v>767</v>
          </cell>
          <cell r="H167">
            <v>2376</v>
          </cell>
          <cell r="I167">
            <v>56</v>
          </cell>
          <cell r="J167">
            <v>0</v>
          </cell>
          <cell r="K167">
            <v>0</v>
          </cell>
          <cell r="L167">
            <v>42.43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4171.43</v>
          </cell>
          <cell r="U167">
            <v>0</v>
          </cell>
          <cell r="V167">
            <v>0</v>
          </cell>
          <cell r="W167">
            <v>0</v>
          </cell>
          <cell r="X167">
            <v>16.97</v>
          </cell>
          <cell r="Y167">
            <v>0</v>
          </cell>
          <cell r="Z167">
            <v>4.6500000000000004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835</v>
          </cell>
          <cell r="AF167">
            <v>0</v>
          </cell>
          <cell r="AG167">
            <v>0</v>
          </cell>
          <cell r="AH167">
            <v>856.62</v>
          </cell>
          <cell r="AI167">
            <v>3314.86</v>
          </cell>
          <cell r="AJ167">
            <v>0.05</v>
          </cell>
          <cell r="AK167">
            <v>0.86</v>
          </cell>
          <cell r="AL167">
            <v>3314</v>
          </cell>
        </row>
        <row r="168">
          <cell r="D168" t="str">
            <v>00011613</v>
          </cell>
          <cell r="E168" t="str">
            <v>马军朝</v>
          </cell>
          <cell r="F168">
            <v>780</v>
          </cell>
          <cell r="G168">
            <v>799</v>
          </cell>
          <cell r="H168">
            <v>2139</v>
          </cell>
          <cell r="I168">
            <v>56</v>
          </cell>
          <cell r="J168">
            <v>0</v>
          </cell>
          <cell r="K168">
            <v>0</v>
          </cell>
          <cell r="L168">
            <v>39.479999999999997</v>
          </cell>
          <cell r="M168">
            <v>0</v>
          </cell>
          <cell r="N168">
            <v>0</v>
          </cell>
          <cell r="O168">
            <v>0</v>
          </cell>
          <cell r="P168">
            <v>5</v>
          </cell>
          <cell r="Q168">
            <v>0</v>
          </cell>
          <cell r="R168">
            <v>0</v>
          </cell>
          <cell r="S168">
            <v>0</v>
          </cell>
          <cell r="T168">
            <v>3818.48</v>
          </cell>
          <cell r="U168">
            <v>0</v>
          </cell>
          <cell r="V168">
            <v>421.8</v>
          </cell>
          <cell r="W168">
            <v>27.37</v>
          </cell>
          <cell r="X168">
            <v>15.79</v>
          </cell>
          <cell r="Y168">
            <v>0</v>
          </cell>
          <cell r="Z168">
            <v>3.9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766</v>
          </cell>
          <cell r="AF168">
            <v>0</v>
          </cell>
          <cell r="AG168">
            <v>0</v>
          </cell>
          <cell r="AH168">
            <v>1234.8599999999999</v>
          </cell>
          <cell r="AI168">
            <v>2583.98</v>
          </cell>
          <cell r="AJ168">
            <v>0.36</v>
          </cell>
          <cell r="AK168">
            <v>0.98</v>
          </cell>
          <cell r="AL168">
            <v>2583</v>
          </cell>
        </row>
        <row r="169">
          <cell r="D169" t="str">
            <v>00011614</v>
          </cell>
          <cell r="E169" t="str">
            <v>张劲松</v>
          </cell>
          <cell r="F169">
            <v>930</v>
          </cell>
          <cell r="G169">
            <v>673</v>
          </cell>
          <cell r="H169">
            <v>2376</v>
          </cell>
          <cell r="I169">
            <v>56</v>
          </cell>
          <cell r="J169">
            <v>0</v>
          </cell>
          <cell r="K169">
            <v>0</v>
          </cell>
          <cell r="L169">
            <v>40.08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4075.08</v>
          </cell>
          <cell r="U169">
            <v>0</v>
          </cell>
          <cell r="V169">
            <v>218.5</v>
          </cell>
          <cell r="W169">
            <v>33.32</v>
          </cell>
          <cell r="X169">
            <v>16.03</v>
          </cell>
          <cell r="Y169">
            <v>0</v>
          </cell>
          <cell r="Z169">
            <v>4.6500000000000004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811</v>
          </cell>
          <cell r="AF169">
            <v>0</v>
          </cell>
          <cell r="AG169">
            <v>0</v>
          </cell>
          <cell r="AH169">
            <v>1083.5</v>
          </cell>
          <cell r="AI169">
            <v>2991.79</v>
          </cell>
          <cell r="AJ169">
            <v>0.21</v>
          </cell>
          <cell r="AK169">
            <v>0.79</v>
          </cell>
          <cell r="AL169">
            <v>2991</v>
          </cell>
        </row>
        <row r="170">
          <cell r="D170" t="str">
            <v>00011615</v>
          </cell>
          <cell r="E170" t="str">
            <v>方朝阳</v>
          </cell>
          <cell r="F170">
            <v>1040</v>
          </cell>
          <cell r="G170">
            <v>673</v>
          </cell>
          <cell r="H170">
            <v>2413</v>
          </cell>
          <cell r="I170">
            <v>56</v>
          </cell>
          <cell r="J170">
            <v>0</v>
          </cell>
          <cell r="K170">
            <v>0</v>
          </cell>
          <cell r="L170">
            <v>42.83</v>
          </cell>
          <cell r="M170">
            <v>0</v>
          </cell>
          <cell r="N170">
            <v>0</v>
          </cell>
          <cell r="O170">
            <v>0</v>
          </cell>
          <cell r="P170">
            <v>5</v>
          </cell>
          <cell r="Q170">
            <v>0</v>
          </cell>
          <cell r="R170">
            <v>0</v>
          </cell>
          <cell r="S170">
            <v>0</v>
          </cell>
          <cell r="T170">
            <v>4229.83</v>
          </cell>
          <cell r="U170">
            <v>0</v>
          </cell>
          <cell r="V170">
            <v>986.1</v>
          </cell>
          <cell r="W170">
            <v>21.42</v>
          </cell>
          <cell r="X170">
            <v>17.13</v>
          </cell>
          <cell r="Y170">
            <v>0</v>
          </cell>
          <cell r="Z170">
            <v>5.2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845</v>
          </cell>
          <cell r="AF170">
            <v>0</v>
          </cell>
          <cell r="AG170">
            <v>0</v>
          </cell>
          <cell r="AH170">
            <v>1874.85</v>
          </cell>
          <cell r="AI170">
            <v>2355.79</v>
          </cell>
          <cell r="AJ170">
            <v>0.81</v>
          </cell>
          <cell r="AK170">
            <v>0.79</v>
          </cell>
          <cell r="AL170">
            <v>2355</v>
          </cell>
        </row>
        <row r="171">
          <cell r="D171" t="str">
            <v>00011616</v>
          </cell>
          <cell r="E171" t="str">
            <v>狄 鸿</v>
          </cell>
          <cell r="F171">
            <v>730</v>
          </cell>
          <cell r="G171">
            <v>527</v>
          </cell>
          <cell r="H171">
            <v>2102</v>
          </cell>
          <cell r="I171">
            <v>56</v>
          </cell>
          <cell r="J171">
            <v>20</v>
          </cell>
          <cell r="K171">
            <v>0</v>
          </cell>
          <cell r="L171">
            <v>31.43</v>
          </cell>
          <cell r="M171">
            <v>0</v>
          </cell>
          <cell r="N171">
            <v>0</v>
          </cell>
          <cell r="O171">
            <v>0</v>
          </cell>
          <cell r="P171">
            <v>5</v>
          </cell>
          <cell r="Q171">
            <v>0</v>
          </cell>
          <cell r="R171">
            <v>0</v>
          </cell>
          <cell r="S171">
            <v>0</v>
          </cell>
          <cell r="T171">
            <v>3471.43</v>
          </cell>
          <cell r="U171">
            <v>0</v>
          </cell>
          <cell r="V171">
            <v>60.8</v>
          </cell>
          <cell r="W171">
            <v>61.28</v>
          </cell>
          <cell r="X171">
            <v>12.57</v>
          </cell>
          <cell r="Y171">
            <v>0</v>
          </cell>
          <cell r="Z171">
            <v>3.65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679</v>
          </cell>
          <cell r="AF171">
            <v>0</v>
          </cell>
          <cell r="AG171">
            <v>0</v>
          </cell>
          <cell r="AH171">
            <v>817.3</v>
          </cell>
          <cell r="AI171">
            <v>2654.52</v>
          </cell>
          <cell r="AJ171">
            <v>0.39</v>
          </cell>
          <cell r="AK171">
            <v>0.52</v>
          </cell>
          <cell r="AL171">
            <v>2654</v>
          </cell>
        </row>
        <row r="172">
          <cell r="D172" t="str">
            <v>00011617</v>
          </cell>
          <cell r="E172" t="str">
            <v>张利平</v>
          </cell>
          <cell r="F172">
            <v>1420</v>
          </cell>
          <cell r="G172">
            <v>583</v>
          </cell>
          <cell r="H172">
            <v>2779</v>
          </cell>
          <cell r="I172">
            <v>56</v>
          </cell>
          <cell r="J172">
            <v>0</v>
          </cell>
          <cell r="K172">
            <v>0</v>
          </cell>
          <cell r="L172">
            <v>50.08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Q172">
            <v>0</v>
          </cell>
          <cell r="R172">
            <v>0</v>
          </cell>
          <cell r="S172">
            <v>0</v>
          </cell>
          <cell r="T172">
            <v>4893.08</v>
          </cell>
          <cell r="U172">
            <v>81</v>
          </cell>
          <cell r="V172">
            <v>0</v>
          </cell>
          <cell r="W172">
            <v>0</v>
          </cell>
          <cell r="X172">
            <v>20.03</v>
          </cell>
          <cell r="Y172">
            <v>10.38</v>
          </cell>
          <cell r="Z172">
            <v>7.1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972</v>
          </cell>
          <cell r="AF172">
            <v>0</v>
          </cell>
          <cell r="AG172">
            <v>0</v>
          </cell>
          <cell r="AH172">
            <v>1090.51</v>
          </cell>
          <cell r="AI172">
            <v>3803.35</v>
          </cell>
          <cell r="AJ172">
            <v>0.78</v>
          </cell>
          <cell r="AK172">
            <v>0.35</v>
          </cell>
          <cell r="AL172">
            <v>3803</v>
          </cell>
        </row>
        <row r="173">
          <cell r="D173" t="str">
            <v>00011618</v>
          </cell>
          <cell r="E173" t="str">
            <v>熊立华</v>
          </cell>
          <cell r="F173">
            <v>1630</v>
          </cell>
          <cell r="G173">
            <v>767</v>
          </cell>
          <cell r="H173">
            <v>2961</v>
          </cell>
          <cell r="I173">
            <v>56</v>
          </cell>
          <cell r="J173">
            <v>0</v>
          </cell>
          <cell r="K173">
            <v>0</v>
          </cell>
          <cell r="L173">
            <v>59.93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Q173">
            <v>0</v>
          </cell>
          <cell r="R173">
            <v>0</v>
          </cell>
          <cell r="S173">
            <v>0</v>
          </cell>
          <cell r="T173">
            <v>5478.93</v>
          </cell>
          <cell r="U173">
            <v>0</v>
          </cell>
          <cell r="V173">
            <v>0</v>
          </cell>
          <cell r="W173">
            <v>0</v>
          </cell>
          <cell r="X173">
            <v>23.97</v>
          </cell>
          <cell r="Y173">
            <v>23.49</v>
          </cell>
          <cell r="Z173">
            <v>8.15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1107</v>
          </cell>
          <cell r="AF173">
            <v>0</v>
          </cell>
          <cell r="AG173">
            <v>0</v>
          </cell>
          <cell r="AH173">
            <v>1162.6099999999999</v>
          </cell>
          <cell r="AI173">
            <v>4316.51</v>
          </cell>
          <cell r="AJ173">
            <v>0.19</v>
          </cell>
          <cell r="AK173">
            <v>0.51</v>
          </cell>
          <cell r="AL173">
            <v>4316</v>
          </cell>
        </row>
        <row r="174">
          <cell r="D174" t="str">
            <v>00011619</v>
          </cell>
          <cell r="E174" t="str">
            <v>夏 军</v>
          </cell>
          <cell r="F174">
            <v>1900</v>
          </cell>
          <cell r="G174">
            <v>1590</v>
          </cell>
          <cell r="H174">
            <v>3108</v>
          </cell>
          <cell r="I174">
            <v>56</v>
          </cell>
          <cell r="J174">
            <v>0</v>
          </cell>
          <cell r="K174">
            <v>0</v>
          </cell>
          <cell r="L174">
            <v>87.25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6741.25</v>
          </cell>
          <cell r="U174">
            <v>0</v>
          </cell>
          <cell r="V174">
            <v>0</v>
          </cell>
          <cell r="W174">
            <v>0</v>
          </cell>
          <cell r="X174">
            <v>34.9</v>
          </cell>
          <cell r="Y174">
            <v>70.010000000000005</v>
          </cell>
          <cell r="Z174">
            <v>9.5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1369</v>
          </cell>
          <cell r="AF174">
            <v>0</v>
          </cell>
          <cell r="AG174">
            <v>0</v>
          </cell>
          <cell r="AH174">
            <v>1483.41</v>
          </cell>
          <cell r="AI174">
            <v>5258.82</v>
          </cell>
          <cell r="AJ174">
            <v>0.98</v>
          </cell>
          <cell r="AK174">
            <v>0.82</v>
          </cell>
          <cell r="AL174">
            <v>5258</v>
          </cell>
        </row>
        <row r="175">
          <cell r="D175" t="str">
            <v>00011622</v>
          </cell>
          <cell r="E175" t="str">
            <v>宋星原</v>
          </cell>
          <cell r="F175">
            <v>1630</v>
          </cell>
          <cell r="G175">
            <v>1384</v>
          </cell>
          <cell r="H175">
            <v>2961</v>
          </cell>
          <cell r="I175">
            <v>56</v>
          </cell>
          <cell r="J175">
            <v>0</v>
          </cell>
          <cell r="K175">
            <v>0</v>
          </cell>
          <cell r="L175">
            <v>75.349999999999994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6106.35</v>
          </cell>
          <cell r="U175">
            <v>0</v>
          </cell>
          <cell r="V175">
            <v>28.5</v>
          </cell>
          <cell r="W175">
            <v>114.24</v>
          </cell>
          <cell r="X175">
            <v>30.14</v>
          </cell>
          <cell r="Y175">
            <v>37.17</v>
          </cell>
          <cell r="Z175">
            <v>8.15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1262</v>
          </cell>
          <cell r="AF175">
            <v>0</v>
          </cell>
          <cell r="AG175">
            <v>0</v>
          </cell>
          <cell r="AH175">
            <v>1480.2</v>
          </cell>
          <cell r="AI175">
            <v>4626.55</v>
          </cell>
          <cell r="AJ175">
            <v>0.4</v>
          </cell>
          <cell r="AK175">
            <v>0.55000000000000004</v>
          </cell>
          <cell r="AL175">
            <v>4626</v>
          </cell>
        </row>
        <row r="176">
          <cell r="D176" t="str">
            <v>00011625</v>
          </cell>
          <cell r="E176" t="str">
            <v>李 兰</v>
          </cell>
          <cell r="F176">
            <v>1630</v>
          </cell>
          <cell r="G176">
            <v>1289</v>
          </cell>
          <cell r="H176">
            <v>2961</v>
          </cell>
          <cell r="I176">
            <v>56</v>
          </cell>
          <cell r="J176">
            <v>20</v>
          </cell>
          <cell r="K176">
            <v>0</v>
          </cell>
          <cell r="L176">
            <v>72.98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6028.98</v>
          </cell>
          <cell r="U176">
            <v>0</v>
          </cell>
          <cell r="V176">
            <v>22.8</v>
          </cell>
          <cell r="W176">
            <v>162.44</v>
          </cell>
          <cell r="X176">
            <v>29.19</v>
          </cell>
          <cell r="Y176">
            <v>35.659999999999997</v>
          </cell>
          <cell r="Z176">
            <v>8.15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1238</v>
          </cell>
          <cell r="AF176">
            <v>0</v>
          </cell>
          <cell r="AG176">
            <v>0</v>
          </cell>
          <cell r="AH176">
            <v>1496.24</v>
          </cell>
          <cell r="AI176">
            <v>4533.29</v>
          </cell>
          <cell r="AJ176">
            <v>0.55000000000000004</v>
          </cell>
          <cell r="AK176">
            <v>0.28999999999999998</v>
          </cell>
          <cell r="AL176">
            <v>4533</v>
          </cell>
        </row>
        <row r="177">
          <cell r="D177" t="str">
            <v>00011627</v>
          </cell>
          <cell r="E177" t="str">
            <v>谢 平</v>
          </cell>
          <cell r="F177">
            <v>1420</v>
          </cell>
          <cell r="G177">
            <v>1064</v>
          </cell>
          <cell r="H177">
            <v>2779</v>
          </cell>
          <cell r="I177">
            <v>56</v>
          </cell>
          <cell r="J177">
            <v>0</v>
          </cell>
          <cell r="K177">
            <v>0</v>
          </cell>
          <cell r="L177">
            <v>62.1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5381.1</v>
          </cell>
          <cell r="U177">
            <v>0</v>
          </cell>
          <cell r="V177">
            <v>148.19999999999999</v>
          </cell>
          <cell r="W177">
            <v>45.22</v>
          </cell>
          <cell r="X177">
            <v>24.84</v>
          </cell>
          <cell r="Y177">
            <v>21.03</v>
          </cell>
          <cell r="Z177">
            <v>7.1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1093</v>
          </cell>
          <cell r="AF177">
            <v>0</v>
          </cell>
          <cell r="AG177">
            <v>0</v>
          </cell>
          <cell r="AH177">
            <v>1339.39</v>
          </cell>
          <cell r="AI177">
            <v>4042.18</v>
          </cell>
          <cell r="AJ177">
            <v>0.47</v>
          </cell>
          <cell r="AK177">
            <v>0.18</v>
          </cell>
          <cell r="AL177">
            <v>4042</v>
          </cell>
        </row>
        <row r="178">
          <cell r="D178" t="str">
            <v>00011629</v>
          </cell>
          <cell r="E178" t="str">
            <v>许建明</v>
          </cell>
          <cell r="F178">
            <v>730</v>
          </cell>
          <cell r="G178">
            <v>703</v>
          </cell>
          <cell r="H178">
            <v>2102</v>
          </cell>
          <cell r="I178">
            <v>56</v>
          </cell>
          <cell r="J178">
            <v>0</v>
          </cell>
          <cell r="K178">
            <v>0</v>
          </cell>
          <cell r="L178">
            <v>35.83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3626.83</v>
          </cell>
          <cell r="U178">
            <v>0</v>
          </cell>
          <cell r="V178">
            <v>20.9</v>
          </cell>
          <cell r="W178">
            <v>28.56</v>
          </cell>
          <cell r="X178">
            <v>14.33</v>
          </cell>
          <cell r="Y178">
            <v>0</v>
          </cell>
          <cell r="Z178">
            <v>3.65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723</v>
          </cell>
          <cell r="AF178">
            <v>0</v>
          </cell>
          <cell r="AG178">
            <v>0</v>
          </cell>
          <cell r="AH178">
            <v>790.44</v>
          </cell>
          <cell r="AI178">
            <v>2836.74</v>
          </cell>
          <cell r="AJ178">
            <v>0.35</v>
          </cell>
          <cell r="AK178">
            <v>0.74</v>
          </cell>
          <cell r="AL178">
            <v>2836</v>
          </cell>
        </row>
        <row r="179">
          <cell r="D179" t="str">
            <v>00011630</v>
          </cell>
          <cell r="E179" t="str">
            <v>肖益民</v>
          </cell>
          <cell r="F179">
            <v>1040</v>
          </cell>
          <cell r="G179">
            <v>834</v>
          </cell>
          <cell r="H179">
            <v>2413</v>
          </cell>
          <cell r="I179">
            <v>56</v>
          </cell>
          <cell r="J179">
            <v>20</v>
          </cell>
          <cell r="K179">
            <v>0</v>
          </cell>
          <cell r="L179">
            <v>46.85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4409.8500000000004</v>
          </cell>
          <cell r="U179">
            <v>0</v>
          </cell>
          <cell r="V179">
            <v>28.5</v>
          </cell>
          <cell r="W179">
            <v>11.9</v>
          </cell>
          <cell r="X179">
            <v>18.739999999999998</v>
          </cell>
          <cell r="Y179">
            <v>0</v>
          </cell>
          <cell r="Z179">
            <v>5.2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885</v>
          </cell>
          <cell r="AF179">
            <v>0</v>
          </cell>
          <cell r="AG179">
            <v>0</v>
          </cell>
          <cell r="AH179">
            <v>949.34</v>
          </cell>
          <cell r="AI179">
            <v>3460.73</v>
          </cell>
          <cell r="AJ179">
            <v>0.22</v>
          </cell>
          <cell r="AK179">
            <v>0.73</v>
          </cell>
          <cell r="AL179">
            <v>3460</v>
          </cell>
        </row>
        <row r="180">
          <cell r="D180" t="str">
            <v>00011631</v>
          </cell>
          <cell r="E180" t="str">
            <v>彭 虹</v>
          </cell>
          <cell r="F180">
            <v>1040</v>
          </cell>
          <cell r="G180">
            <v>673</v>
          </cell>
          <cell r="H180">
            <v>2413</v>
          </cell>
          <cell r="I180">
            <v>56</v>
          </cell>
          <cell r="J180">
            <v>20</v>
          </cell>
          <cell r="K180">
            <v>0</v>
          </cell>
          <cell r="L180">
            <v>42.83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4244.83</v>
          </cell>
          <cell r="U180">
            <v>0</v>
          </cell>
          <cell r="V180">
            <v>0</v>
          </cell>
          <cell r="W180">
            <v>0</v>
          </cell>
          <cell r="X180">
            <v>17.13</v>
          </cell>
          <cell r="Y180">
            <v>0</v>
          </cell>
          <cell r="Z180">
            <v>5.2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845</v>
          </cell>
          <cell r="AF180">
            <v>0</v>
          </cell>
          <cell r="AG180">
            <v>0</v>
          </cell>
          <cell r="AH180">
            <v>867.33</v>
          </cell>
          <cell r="AI180">
            <v>3377.57</v>
          </cell>
          <cell r="AJ180">
            <v>7.0000000000000007E-2</v>
          </cell>
          <cell r="AK180">
            <v>0.56999999999999995</v>
          </cell>
          <cell r="AL180">
            <v>3377</v>
          </cell>
        </row>
        <row r="181">
          <cell r="D181" t="str">
            <v>00011632</v>
          </cell>
          <cell r="E181" t="str">
            <v>张 翔SL</v>
          </cell>
          <cell r="F181">
            <v>1420</v>
          </cell>
          <cell r="G181">
            <v>735</v>
          </cell>
          <cell r="H181">
            <v>2779</v>
          </cell>
          <cell r="I181">
            <v>56</v>
          </cell>
          <cell r="J181">
            <v>0</v>
          </cell>
          <cell r="K181">
            <v>0</v>
          </cell>
          <cell r="L181">
            <v>53.88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5043.88</v>
          </cell>
          <cell r="U181">
            <v>0</v>
          </cell>
          <cell r="V181">
            <v>313.5</v>
          </cell>
          <cell r="W181">
            <v>106.5</v>
          </cell>
          <cell r="X181">
            <v>21.55</v>
          </cell>
          <cell r="Y181">
            <v>13.75</v>
          </cell>
          <cell r="Z181">
            <v>7.1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1010</v>
          </cell>
          <cell r="AF181">
            <v>0</v>
          </cell>
          <cell r="AG181">
            <v>0</v>
          </cell>
          <cell r="AH181">
            <v>1472.4</v>
          </cell>
          <cell r="AI181">
            <v>3572.21</v>
          </cell>
          <cell r="AJ181">
            <v>0.73</v>
          </cell>
          <cell r="AK181">
            <v>0.21</v>
          </cell>
          <cell r="AL181">
            <v>3572</v>
          </cell>
        </row>
        <row r="182">
          <cell r="D182" t="str">
            <v>00011634</v>
          </cell>
          <cell r="E182" t="str">
            <v>姚小明</v>
          </cell>
          <cell r="F182">
            <v>780</v>
          </cell>
          <cell r="G182">
            <v>799</v>
          </cell>
          <cell r="H182">
            <v>2139</v>
          </cell>
          <cell r="I182">
            <v>56</v>
          </cell>
          <cell r="J182">
            <v>0</v>
          </cell>
          <cell r="K182">
            <v>0</v>
          </cell>
          <cell r="L182">
            <v>39.479999999999997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3813.48</v>
          </cell>
          <cell r="U182">
            <v>0</v>
          </cell>
          <cell r="V182">
            <v>362.9</v>
          </cell>
          <cell r="W182">
            <v>259.42</v>
          </cell>
          <cell r="X182">
            <v>15.79</v>
          </cell>
          <cell r="Y182">
            <v>0</v>
          </cell>
          <cell r="Z182">
            <v>3.9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766</v>
          </cell>
          <cell r="AF182">
            <v>0</v>
          </cell>
          <cell r="AG182">
            <v>0</v>
          </cell>
          <cell r="AH182">
            <v>1408.01</v>
          </cell>
          <cell r="AI182">
            <v>2406</v>
          </cell>
          <cell r="AJ182">
            <v>0.53</v>
          </cell>
          <cell r="AK182">
            <v>0</v>
          </cell>
          <cell r="AL182">
            <v>2406</v>
          </cell>
        </row>
        <row r="183">
          <cell r="D183" t="str">
            <v>00011635</v>
          </cell>
          <cell r="E183" t="str">
            <v>谈广鸣</v>
          </cell>
          <cell r="F183">
            <v>1900</v>
          </cell>
          <cell r="G183">
            <v>1109</v>
          </cell>
          <cell r="H183">
            <v>3108</v>
          </cell>
          <cell r="I183">
            <v>56</v>
          </cell>
          <cell r="J183">
            <v>0</v>
          </cell>
          <cell r="K183">
            <v>0</v>
          </cell>
          <cell r="L183">
            <v>75.23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6248.23</v>
          </cell>
          <cell r="U183">
            <v>0</v>
          </cell>
          <cell r="V183">
            <v>95</v>
          </cell>
          <cell r="W183">
            <v>111.86</v>
          </cell>
          <cell r="X183">
            <v>30.09</v>
          </cell>
          <cell r="Y183">
            <v>40.74</v>
          </cell>
          <cell r="Z183">
            <v>9.5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1285</v>
          </cell>
          <cell r="AF183">
            <v>0</v>
          </cell>
          <cell r="AG183">
            <v>0</v>
          </cell>
          <cell r="AH183">
            <v>1572.19</v>
          </cell>
          <cell r="AI183">
            <v>4676.5200000000004</v>
          </cell>
          <cell r="AJ183">
            <v>0.48</v>
          </cell>
          <cell r="AK183">
            <v>0.52</v>
          </cell>
          <cell r="AL183">
            <v>4676</v>
          </cell>
        </row>
        <row r="184">
          <cell r="D184" t="str">
            <v>00011636</v>
          </cell>
          <cell r="E184" t="str">
            <v>熊治平</v>
          </cell>
          <cell r="F184">
            <v>1180</v>
          </cell>
          <cell r="G184">
            <v>1199</v>
          </cell>
          <cell r="H184">
            <v>2468</v>
          </cell>
          <cell r="I184">
            <v>56</v>
          </cell>
          <cell r="J184">
            <v>0</v>
          </cell>
          <cell r="K184">
            <v>0</v>
          </cell>
          <cell r="L184">
            <v>59.48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4962.4799999999996</v>
          </cell>
          <cell r="U184">
            <v>0</v>
          </cell>
          <cell r="V184">
            <v>171</v>
          </cell>
          <cell r="W184">
            <v>113.64</v>
          </cell>
          <cell r="X184">
            <v>23.79</v>
          </cell>
          <cell r="Y184">
            <v>10.75</v>
          </cell>
          <cell r="Z184">
            <v>5.9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1021</v>
          </cell>
          <cell r="AF184">
            <v>0</v>
          </cell>
          <cell r="AG184">
            <v>0</v>
          </cell>
          <cell r="AH184">
            <v>1346.08</v>
          </cell>
          <cell r="AI184">
            <v>3616.45</v>
          </cell>
          <cell r="AJ184">
            <v>0.05</v>
          </cell>
          <cell r="AK184">
            <v>0.45</v>
          </cell>
          <cell r="AL184">
            <v>3616</v>
          </cell>
        </row>
        <row r="185">
          <cell r="D185" t="str">
            <v>00011637</v>
          </cell>
          <cell r="E185" t="str">
            <v>陈 立</v>
          </cell>
          <cell r="F185">
            <v>1630</v>
          </cell>
          <cell r="G185">
            <v>1109</v>
          </cell>
          <cell r="H185">
            <v>2961</v>
          </cell>
          <cell r="I185">
            <v>56</v>
          </cell>
          <cell r="J185">
            <v>0</v>
          </cell>
          <cell r="K185">
            <v>0</v>
          </cell>
          <cell r="L185">
            <v>68.48</v>
          </cell>
          <cell r="M185">
            <v>0</v>
          </cell>
          <cell r="N185">
            <v>80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5904.48</v>
          </cell>
          <cell r="U185">
            <v>0</v>
          </cell>
          <cell r="V185">
            <v>298.3</v>
          </cell>
          <cell r="W185">
            <v>185.64</v>
          </cell>
          <cell r="X185">
            <v>27.39</v>
          </cell>
          <cell r="Y185">
            <v>31.07</v>
          </cell>
          <cell r="Z185">
            <v>8.15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1193</v>
          </cell>
          <cell r="AF185">
            <v>0</v>
          </cell>
          <cell r="AG185">
            <v>0</v>
          </cell>
          <cell r="AH185">
            <v>1743.55</v>
          </cell>
          <cell r="AI185">
            <v>4161.6400000000003</v>
          </cell>
          <cell r="AJ185">
            <v>0.71</v>
          </cell>
          <cell r="AK185">
            <v>0.64</v>
          </cell>
          <cell r="AL185">
            <v>4161</v>
          </cell>
        </row>
        <row r="186">
          <cell r="D186" t="str">
            <v>00011639</v>
          </cell>
          <cell r="E186" t="str">
            <v>雒 征</v>
          </cell>
          <cell r="F186">
            <v>780</v>
          </cell>
          <cell r="G186">
            <v>703</v>
          </cell>
          <cell r="H186">
            <v>2139</v>
          </cell>
          <cell r="I186">
            <v>56</v>
          </cell>
          <cell r="J186">
            <v>20</v>
          </cell>
          <cell r="K186">
            <v>0</v>
          </cell>
          <cell r="L186">
            <v>37.08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3735.08</v>
          </cell>
          <cell r="U186">
            <v>0</v>
          </cell>
          <cell r="V186">
            <v>7.6</v>
          </cell>
          <cell r="W186">
            <v>790.16</v>
          </cell>
          <cell r="X186">
            <v>14.83</v>
          </cell>
          <cell r="Y186">
            <v>0</v>
          </cell>
          <cell r="Z186">
            <v>3.9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742</v>
          </cell>
          <cell r="AF186">
            <v>0</v>
          </cell>
          <cell r="AG186">
            <v>0</v>
          </cell>
          <cell r="AH186">
            <v>1558.49</v>
          </cell>
          <cell r="AI186">
            <v>2177.42</v>
          </cell>
          <cell r="AJ186">
            <v>0.83</v>
          </cell>
          <cell r="AK186">
            <v>0.42</v>
          </cell>
          <cell r="AL186">
            <v>2177</v>
          </cell>
        </row>
        <row r="187">
          <cell r="D187" t="str">
            <v>00011643</v>
          </cell>
          <cell r="E187" t="str">
            <v>李白鸣</v>
          </cell>
          <cell r="F187">
            <v>780</v>
          </cell>
          <cell r="G187">
            <v>904</v>
          </cell>
          <cell r="H187">
            <v>2139</v>
          </cell>
          <cell r="I187">
            <v>56</v>
          </cell>
          <cell r="J187">
            <v>0</v>
          </cell>
          <cell r="K187">
            <v>0</v>
          </cell>
          <cell r="L187">
            <v>42.1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3921.1</v>
          </cell>
          <cell r="U187">
            <v>0</v>
          </cell>
          <cell r="V187">
            <v>193.8</v>
          </cell>
          <cell r="W187">
            <v>83.89</v>
          </cell>
          <cell r="X187">
            <v>16.84</v>
          </cell>
          <cell r="Y187">
            <v>0</v>
          </cell>
          <cell r="Z187">
            <v>3.9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792</v>
          </cell>
          <cell r="AF187">
            <v>0</v>
          </cell>
          <cell r="AG187">
            <v>0</v>
          </cell>
          <cell r="AH187">
            <v>1090.43</v>
          </cell>
          <cell r="AI187">
            <v>2830.9</v>
          </cell>
          <cell r="AJ187">
            <v>0.23</v>
          </cell>
          <cell r="AK187">
            <v>0.9</v>
          </cell>
          <cell r="AL187">
            <v>2830</v>
          </cell>
        </row>
        <row r="188">
          <cell r="D188" t="str">
            <v>00011645</v>
          </cell>
          <cell r="E188" t="str">
            <v>李旺兴</v>
          </cell>
          <cell r="F188">
            <v>1040</v>
          </cell>
          <cell r="G188">
            <v>767</v>
          </cell>
          <cell r="H188">
            <v>2413</v>
          </cell>
          <cell r="I188">
            <v>56</v>
          </cell>
          <cell r="J188">
            <v>0</v>
          </cell>
          <cell r="K188">
            <v>0</v>
          </cell>
          <cell r="L188">
            <v>45.18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4321.18</v>
          </cell>
          <cell r="U188">
            <v>0</v>
          </cell>
          <cell r="V188">
            <v>0</v>
          </cell>
          <cell r="W188">
            <v>0</v>
          </cell>
          <cell r="X188">
            <v>18.07</v>
          </cell>
          <cell r="Y188">
            <v>0</v>
          </cell>
          <cell r="Z188">
            <v>5.2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868</v>
          </cell>
          <cell r="AF188">
            <v>0</v>
          </cell>
          <cell r="AG188">
            <v>0</v>
          </cell>
          <cell r="AH188">
            <v>891.27</v>
          </cell>
          <cell r="AI188">
            <v>3430.86</v>
          </cell>
          <cell r="AJ188">
            <v>0.95</v>
          </cell>
          <cell r="AK188">
            <v>0.86</v>
          </cell>
          <cell r="AL188">
            <v>3430</v>
          </cell>
        </row>
        <row r="189">
          <cell r="D189" t="str">
            <v>00011646</v>
          </cell>
          <cell r="E189" t="str">
            <v>张小峰</v>
          </cell>
          <cell r="F189">
            <v>1630</v>
          </cell>
          <cell r="G189">
            <v>1244</v>
          </cell>
          <cell r="H189">
            <v>2961</v>
          </cell>
          <cell r="I189">
            <v>56</v>
          </cell>
          <cell r="J189">
            <v>0</v>
          </cell>
          <cell r="K189">
            <v>0</v>
          </cell>
          <cell r="L189">
            <v>71.849999999999994</v>
          </cell>
          <cell r="M189">
            <v>0</v>
          </cell>
          <cell r="N189">
            <v>0</v>
          </cell>
          <cell r="O189">
            <v>0</v>
          </cell>
          <cell r="P189">
            <v>5</v>
          </cell>
          <cell r="Q189">
            <v>0</v>
          </cell>
          <cell r="R189">
            <v>0</v>
          </cell>
          <cell r="S189">
            <v>0</v>
          </cell>
          <cell r="T189">
            <v>5967.85</v>
          </cell>
          <cell r="U189">
            <v>0</v>
          </cell>
          <cell r="V189">
            <v>34.200000000000003</v>
          </cell>
          <cell r="W189">
            <v>69.02</v>
          </cell>
          <cell r="X189">
            <v>28.74</v>
          </cell>
          <cell r="Y189">
            <v>34.06</v>
          </cell>
          <cell r="Z189">
            <v>8.15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1227</v>
          </cell>
          <cell r="AF189">
            <v>0</v>
          </cell>
          <cell r="AG189">
            <v>0</v>
          </cell>
          <cell r="AH189">
            <v>1401.17</v>
          </cell>
          <cell r="AI189">
            <v>4567.51</v>
          </cell>
          <cell r="AJ189">
            <v>0.83</v>
          </cell>
          <cell r="AK189">
            <v>0.51</v>
          </cell>
          <cell r="AL189">
            <v>4567</v>
          </cell>
        </row>
        <row r="190">
          <cell r="D190" t="str">
            <v>00011647</v>
          </cell>
          <cell r="E190" t="str">
            <v>李义天</v>
          </cell>
          <cell r="F190">
            <v>1900</v>
          </cell>
          <cell r="G190">
            <v>1434</v>
          </cell>
          <cell r="H190">
            <v>3108</v>
          </cell>
          <cell r="I190">
            <v>56</v>
          </cell>
          <cell r="J190">
            <v>0</v>
          </cell>
          <cell r="K190">
            <v>0</v>
          </cell>
          <cell r="L190">
            <v>83.35</v>
          </cell>
          <cell r="M190">
            <v>600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7181.35</v>
          </cell>
          <cell r="U190">
            <v>0</v>
          </cell>
          <cell r="V190">
            <v>478.8</v>
          </cell>
          <cell r="W190">
            <v>16.66</v>
          </cell>
          <cell r="X190">
            <v>33.340000000000003</v>
          </cell>
          <cell r="Y190">
            <v>54.87</v>
          </cell>
          <cell r="Z190">
            <v>9.5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1366</v>
          </cell>
          <cell r="AF190">
            <v>0</v>
          </cell>
          <cell r="AG190">
            <v>0</v>
          </cell>
          <cell r="AH190">
            <v>1959.17</v>
          </cell>
          <cell r="AI190">
            <v>5223.1000000000004</v>
          </cell>
          <cell r="AJ190">
            <v>0.92</v>
          </cell>
          <cell r="AK190">
            <v>0.1</v>
          </cell>
          <cell r="AL190">
            <v>5223</v>
          </cell>
        </row>
        <row r="191">
          <cell r="D191" t="str">
            <v>00011650</v>
          </cell>
          <cell r="E191" t="str">
            <v>吴卫民</v>
          </cell>
          <cell r="F191">
            <v>1180</v>
          </cell>
          <cell r="G191">
            <v>1109</v>
          </cell>
          <cell r="H191">
            <v>2468</v>
          </cell>
          <cell r="I191">
            <v>56</v>
          </cell>
          <cell r="J191">
            <v>0</v>
          </cell>
          <cell r="K191">
            <v>0</v>
          </cell>
          <cell r="L191">
            <v>57.23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4870.2299999999996</v>
          </cell>
          <cell r="U191">
            <v>0</v>
          </cell>
          <cell r="V191">
            <v>121.6</v>
          </cell>
          <cell r="W191">
            <v>76.75</v>
          </cell>
          <cell r="X191">
            <v>22.89</v>
          </cell>
          <cell r="Y191">
            <v>8.76</v>
          </cell>
          <cell r="Z191">
            <v>5.9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998</v>
          </cell>
          <cell r="AF191">
            <v>0</v>
          </cell>
          <cell r="AG191">
            <v>0</v>
          </cell>
          <cell r="AH191">
            <v>1233.9000000000001</v>
          </cell>
          <cell r="AI191">
            <v>3636.81</v>
          </cell>
          <cell r="AJ191">
            <v>0.48</v>
          </cell>
          <cell r="AK191">
            <v>0.81</v>
          </cell>
          <cell r="AL191">
            <v>3636</v>
          </cell>
        </row>
        <row r="192">
          <cell r="D192" t="str">
            <v>00011651</v>
          </cell>
          <cell r="E192" t="str">
            <v>韦直林</v>
          </cell>
          <cell r="F192">
            <v>1630</v>
          </cell>
          <cell r="G192">
            <v>1334</v>
          </cell>
          <cell r="H192">
            <v>2961</v>
          </cell>
          <cell r="I192">
            <v>56</v>
          </cell>
          <cell r="J192">
            <v>0</v>
          </cell>
          <cell r="K192">
            <v>0</v>
          </cell>
          <cell r="L192">
            <v>74.099999999999994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6055.1</v>
          </cell>
          <cell r="U192">
            <v>0</v>
          </cell>
          <cell r="V192">
            <v>0</v>
          </cell>
          <cell r="W192">
            <v>0</v>
          </cell>
          <cell r="X192">
            <v>29.64</v>
          </cell>
          <cell r="Y192">
            <v>36.07</v>
          </cell>
          <cell r="Z192">
            <v>8.15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1249</v>
          </cell>
          <cell r="AF192">
            <v>0</v>
          </cell>
          <cell r="AG192">
            <v>0</v>
          </cell>
          <cell r="AH192">
            <v>1322.86</v>
          </cell>
          <cell r="AI192">
            <v>4732.63</v>
          </cell>
          <cell r="AJ192">
            <v>0.39</v>
          </cell>
          <cell r="AK192">
            <v>0.63</v>
          </cell>
          <cell r="AL192">
            <v>4732</v>
          </cell>
        </row>
        <row r="193">
          <cell r="D193" t="str">
            <v>00011652</v>
          </cell>
          <cell r="E193" t="str">
            <v>王 丹</v>
          </cell>
          <cell r="F193">
            <v>780</v>
          </cell>
          <cell r="G193">
            <v>703</v>
          </cell>
          <cell r="H193">
            <v>2139</v>
          </cell>
          <cell r="I193">
            <v>56</v>
          </cell>
          <cell r="J193">
            <v>20</v>
          </cell>
          <cell r="K193">
            <v>0</v>
          </cell>
          <cell r="L193">
            <v>37.08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3735.08</v>
          </cell>
          <cell r="U193">
            <v>0</v>
          </cell>
          <cell r="V193">
            <v>0</v>
          </cell>
          <cell r="W193">
            <v>296.89999999999998</v>
          </cell>
          <cell r="X193">
            <v>14.83</v>
          </cell>
          <cell r="Y193">
            <v>0</v>
          </cell>
          <cell r="Z193">
            <v>3.9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742</v>
          </cell>
          <cell r="AF193">
            <v>0</v>
          </cell>
          <cell r="AG193">
            <v>0</v>
          </cell>
          <cell r="AH193">
            <v>1057.6300000000001</v>
          </cell>
          <cell r="AI193">
            <v>2678.24</v>
          </cell>
          <cell r="AJ193">
            <v>0.79</v>
          </cell>
          <cell r="AK193">
            <v>0.24</v>
          </cell>
          <cell r="AL193">
            <v>2678</v>
          </cell>
        </row>
        <row r="194">
          <cell r="D194" t="str">
            <v>00011653</v>
          </cell>
          <cell r="E194" t="str">
            <v>余明辉</v>
          </cell>
          <cell r="F194">
            <v>1420</v>
          </cell>
          <cell r="G194">
            <v>703</v>
          </cell>
          <cell r="H194">
            <v>2779</v>
          </cell>
          <cell r="I194">
            <v>56</v>
          </cell>
          <cell r="J194">
            <v>20</v>
          </cell>
          <cell r="K194">
            <v>0</v>
          </cell>
          <cell r="L194">
            <v>53.08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5031.08</v>
          </cell>
          <cell r="U194">
            <v>200</v>
          </cell>
          <cell r="V194">
            <v>11.4</v>
          </cell>
          <cell r="W194">
            <v>8.33</v>
          </cell>
          <cell r="X194">
            <v>21.23</v>
          </cell>
          <cell r="Y194">
            <v>13.64</v>
          </cell>
          <cell r="Z194">
            <v>7.1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1002</v>
          </cell>
          <cell r="AF194">
            <v>0</v>
          </cell>
          <cell r="AG194">
            <v>0</v>
          </cell>
          <cell r="AH194">
            <v>1263.7</v>
          </cell>
          <cell r="AI194">
            <v>3767.49</v>
          </cell>
          <cell r="AJ194">
            <v>0.11</v>
          </cell>
          <cell r="AK194">
            <v>0.49</v>
          </cell>
          <cell r="AL194">
            <v>3767</v>
          </cell>
        </row>
        <row r="195">
          <cell r="D195" t="str">
            <v>00011655</v>
          </cell>
          <cell r="E195" t="str">
            <v>李可可</v>
          </cell>
          <cell r="F195">
            <v>1420</v>
          </cell>
          <cell r="G195">
            <v>944</v>
          </cell>
          <cell r="H195">
            <v>2779</v>
          </cell>
          <cell r="I195">
            <v>56</v>
          </cell>
          <cell r="J195">
            <v>20</v>
          </cell>
          <cell r="K195">
            <v>0</v>
          </cell>
          <cell r="L195">
            <v>59.1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5278.1</v>
          </cell>
          <cell r="U195">
            <v>0</v>
          </cell>
          <cell r="V195">
            <v>0</v>
          </cell>
          <cell r="W195">
            <v>0</v>
          </cell>
          <cell r="X195">
            <v>23.64</v>
          </cell>
          <cell r="Y195">
            <v>18.97</v>
          </cell>
          <cell r="Z195">
            <v>7.1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1063</v>
          </cell>
          <cell r="AF195">
            <v>0</v>
          </cell>
          <cell r="AG195">
            <v>0</v>
          </cell>
          <cell r="AH195">
            <v>1112.71</v>
          </cell>
          <cell r="AI195">
            <v>4166.2299999999996</v>
          </cell>
          <cell r="AJ195">
            <v>0.84</v>
          </cell>
          <cell r="AK195">
            <v>0.23</v>
          </cell>
          <cell r="AL195">
            <v>4166</v>
          </cell>
        </row>
        <row r="196">
          <cell r="D196" t="str">
            <v>00011656</v>
          </cell>
          <cell r="E196" t="str">
            <v>梁 利</v>
          </cell>
          <cell r="F196">
            <v>730</v>
          </cell>
          <cell r="G196">
            <v>555</v>
          </cell>
          <cell r="H196">
            <v>2102</v>
          </cell>
          <cell r="I196">
            <v>56</v>
          </cell>
          <cell r="J196">
            <v>20</v>
          </cell>
          <cell r="K196">
            <v>0</v>
          </cell>
          <cell r="L196">
            <v>32.130000000000003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3495.13</v>
          </cell>
          <cell r="U196">
            <v>0</v>
          </cell>
          <cell r="V196">
            <v>0</v>
          </cell>
          <cell r="W196">
            <v>0</v>
          </cell>
          <cell r="X196">
            <v>12.85</v>
          </cell>
          <cell r="Y196">
            <v>0</v>
          </cell>
          <cell r="Z196">
            <v>3.65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686</v>
          </cell>
          <cell r="AF196">
            <v>0</v>
          </cell>
          <cell r="AG196">
            <v>0</v>
          </cell>
          <cell r="AH196">
            <v>702.5</v>
          </cell>
          <cell r="AI196">
            <v>2792.81</v>
          </cell>
          <cell r="AJ196">
            <v>0.18</v>
          </cell>
          <cell r="AK196">
            <v>0.81</v>
          </cell>
          <cell r="AL196">
            <v>2792</v>
          </cell>
        </row>
        <row r="197">
          <cell r="D197" t="str">
            <v>00011657</v>
          </cell>
          <cell r="E197" t="str">
            <v>王 红</v>
          </cell>
          <cell r="F197">
            <v>730</v>
          </cell>
          <cell r="G197">
            <v>613</v>
          </cell>
          <cell r="H197">
            <v>2102</v>
          </cell>
          <cell r="I197">
            <v>56</v>
          </cell>
          <cell r="J197">
            <v>20</v>
          </cell>
          <cell r="K197">
            <v>0</v>
          </cell>
          <cell r="L197">
            <v>33.58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3554.58</v>
          </cell>
          <cell r="U197">
            <v>0</v>
          </cell>
          <cell r="V197">
            <v>26.6</v>
          </cell>
          <cell r="W197">
            <v>13.09</v>
          </cell>
          <cell r="X197">
            <v>13.43</v>
          </cell>
          <cell r="Y197">
            <v>0</v>
          </cell>
          <cell r="Z197">
            <v>3.65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701</v>
          </cell>
          <cell r="AF197">
            <v>0</v>
          </cell>
          <cell r="AG197">
            <v>0</v>
          </cell>
          <cell r="AH197">
            <v>757.77</v>
          </cell>
          <cell r="AI197">
            <v>2797.74</v>
          </cell>
          <cell r="AJ197">
            <v>0.93</v>
          </cell>
          <cell r="AK197">
            <v>0.74</v>
          </cell>
          <cell r="AL197">
            <v>2797</v>
          </cell>
        </row>
        <row r="198">
          <cell r="D198" t="str">
            <v>00011660</v>
          </cell>
          <cell r="E198" t="str">
            <v>李建雄</v>
          </cell>
          <cell r="F198">
            <v>1045</v>
          </cell>
          <cell r="G198">
            <v>1109</v>
          </cell>
          <cell r="H198">
            <v>2779</v>
          </cell>
          <cell r="I198">
            <v>56</v>
          </cell>
          <cell r="J198">
            <v>0</v>
          </cell>
          <cell r="K198">
            <v>0</v>
          </cell>
          <cell r="L198">
            <v>54.73</v>
          </cell>
          <cell r="M198">
            <v>0</v>
          </cell>
          <cell r="N198">
            <v>0</v>
          </cell>
          <cell r="O198">
            <v>35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5078.7299999999996</v>
          </cell>
          <cell r="U198">
            <v>0</v>
          </cell>
          <cell r="V198">
            <v>115.9</v>
          </cell>
          <cell r="W198">
            <v>19.04</v>
          </cell>
          <cell r="X198">
            <v>21.54</v>
          </cell>
          <cell r="Y198">
            <v>14.5</v>
          </cell>
          <cell r="Z198">
            <v>5.23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1019</v>
          </cell>
          <cell r="AF198">
            <v>0</v>
          </cell>
          <cell r="AG198">
            <v>0</v>
          </cell>
          <cell r="AH198">
            <v>1195.21</v>
          </cell>
          <cell r="AI198">
            <v>3883.57</v>
          </cell>
          <cell r="AJ198">
            <v>0.05</v>
          </cell>
          <cell r="AK198">
            <v>0.56999999999999995</v>
          </cell>
          <cell r="AL198">
            <v>3883</v>
          </cell>
        </row>
        <row r="199">
          <cell r="D199" t="str">
            <v>00011661</v>
          </cell>
          <cell r="E199" t="str">
            <v>蔡映红</v>
          </cell>
          <cell r="F199">
            <v>720</v>
          </cell>
          <cell r="G199">
            <v>799</v>
          </cell>
          <cell r="H199">
            <v>2139</v>
          </cell>
          <cell r="I199">
            <v>56</v>
          </cell>
          <cell r="J199">
            <v>20</v>
          </cell>
          <cell r="K199">
            <v>0</v>
          </cell>
          <cell r="L199">
            <v>37.979999999999997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3771.98</v>
          </cell>
          <cell r="U199">
            <v>0</v>
          </cell>
          <cell r="V199">
            <v>0</v>
          </cell>
          <cell r="W199">
            <v>0</v>
          </cell>
          <cell r="X199">
            <v>15.19</v>
          </cell>
          <cell r="Y199">
            <v>0</v>
          </cell>
          <cell r="Z199">
            <v>3.6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751</v>
          </cell>
          <cell r="AF199">
            <v>0</v>
          </cell>
          <cell r="AG199">
            <v>0</v>
          </cell>
          <cell r="AH199">
            <v>769.79</v>
          </cell>
          <cell r="AI199">
            <v>3002.61</v>
          </cell>
          <cell r="AJ199">
            <v>0.42</v>
          </cell>
          <cell r="AK199">
            <v>0.61</v>
          </cell>
          <cell r="AL199">
            <v>3002</v>
          </cell>
        </row>
        <row r="200">
          <cell r="D200" t="str">
            <v>00011662</v>
          </cell>
          <cell r="E200" t="str">
            <v>吴运卿</v>
          </cell>
          <cell r="F200">
            <v>1045</v>
          </cell>
          <cell r="G200">
            <v>673</v>
          </cell>
          <cell r="H200">
            <v>2779</v>
          </cell>
          <cell r="I200">
            <v>56</v>
          </cell>
          <cell r="J200">
            <v>0</v>
          </cell>
          <cell r="K200">
            <v>0</v>
          </cell>
          <cell r="L200">
            <v>45.05</v>
          </cell>
          <cell r="M200">
            <v>0</v>
          </cell>
          <cell r="N200">
            <v>0</v>
          </cell>
          <cell r="O200">
            <v>84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4682.05</v>
          </cell>
          <cell r="U200">
            <v>0</v>
          </cell>
          <cell r="V200">
            <v>0</v>
          </cell>
          <cell r="W200">
            <v>157.08000000000001</v>
          </cell>
          <cell r="X200">
            <v>17.18</v>
          </cell>
          <cell r="Y200">
            <v>5.93</v>
          </cell>
          <cell r="Z200">
            <v>5.23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922</v>
          </cell>
          <cell r="AF200">
            <v>0</v>
          </cell>
          <cell r="AG200">
            <v>0</v>
          </cell>
          <cell r="AH200">
            <v>1107.42</v>
          </cell>
          <cell r="AI200">
            <v>3575</v>
          </cell>
          <cell r="AJ200">
            <v>0.37</v>
          </cell>
          <cell r="AK200">
            <v>0</v>
          </cell>
          <cell r="AL200">
            <v>3575</v>
          </cell>
        </row>
        <row r="201">
          <cell r="D201" t="str">
            <v>00011666</v>
          </cell>
          <cell r="E201" t="str">
            <v>龙元英</v>
          </cell>
          <cell r="F201">
            <v>720</v>
          </cell>
          <cell r="G201">
            <v>643</v>
          </cell>
          <cell r="H201">
            <v>2139</v>
          </cell>
          <cell r="I201">
            <v>56</v>
          </cell>
          <cell r="J201">
            <v>20</v>
          </cell>
          <cell r="K201">
            <v>0</v>
          </cell>
          <cell r="L201">
            <v>39.43</v>
          </cell>
          <cell r="M201">
            <v>0</v>
          </cell>
          <cell r="N201">
            <v>0</v>
          </cell>
          <cell r="O201">
            <v>214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3831.43</v>
          </cell>
          <cell r="U201">
            <v>0</v>
          </cell>
          <cell r="V201">
            <v>0</v>
          </cell>
          <cell r="W201">
            <v>0</v>
          </cell>
          <cell r="X201">
            <v>13.63</v>
          </cell>
          <cell r="Y201">
            <v>0</v>
          </cell>
          <cell r="Z201">
            <v>3.6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765</v>
          </cell>
          <cell r="AF201">
            <v>0</v>
          </cell>
          <cell r="AG201">
            <v>0</v>
          </cell>
          <cell r="AH201">
            <v>782.23</v>
          </cell>
          <cell r="AI201">
            <v>3049.71</v>
          </cell>
          <cell r="AJ201">
            <v>0.51</v>
          </cell>
          <cell r="AK201">
            <v>0.71</v>
          </cell>
          <cell r="AL201">
            <v>3049</v>
          </cell>
        </row>
        <row r="202">
          <cell r="D202" t="str">
            <v>00011667</v>
          </cell>
          <cell r="E202" t="str">
            <v>钱小玉</v>
          </cell>
          <cell r="F202">
            <v>730</v>
          </cell>
          <cell r="G202">
            <v>703</v>
          </cell>
          <cell r="H202">
            <v>2102</v>
          </cell>
          <cell r="I202">
            <v>56</v>
          </cell>
          <cell r="J202">
            <v>20</v>
          </cell>
          <cell r="K202">
            <v>0</v>
          </cell>
          <cell r="L202">
            <v>35.83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3646.83</v>
          </cell>
          <cell r="U202">
            <v>0</v>
          </cell>
          <cell r="V202">
            <v>0</v>
          </cell>
          <cell r="W202">
            <v>0</v>
          </cell>
          <cell r="X202">
            <v>14.33</v>
          </cell>
          <cell r="Y202">
            <v>0</v>
          </cell>
          <cell r="Z202">
            <v>3.65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723</v>
          </cell>
          <cell r="AF202">
            <v>0</v>
          </cell>
          <cell r="AG202">
            <v>0</v>
          </cell>
          <cell r="AH202">
            <v>740.98</v>
          </cell>
          <cell r="AI202">
            <v>2906.09</v>
          </cell>
          <cell r="AJ202">
            <v>0.24</v>
          </cell>
          <cell r="AK202">
            <v>0.09</v>
          </cell>
          <cell r="AL202">
            <v>2906</v>
          </cell>
        </row>
        <row r="203">
          <cell r="D203" t="str">
            <v>00011669</v>
          </cell>
          <cell r="E203" t="str">
            <v>付 湘</v>
          </cell>
          <cell r="F203">
            <v>1420</v>
          </cell>
          <cell r="G203">
            <v>643</v>
          </cell>
          <cell r="H203">
            <v>2779</v>
          </cell>
          <cell r="I203">
            <v>56</v>
          </cell>
          <cell r="J203">
            <v>20</v>
          </cell>
          <cell r="K203">
            <v>0</v>
          </cell>
          <cell r="L203">
            <v>51.58</v>
          </cell>
          <cell r="M203">
            <v>0</v>
          </cell>
          <cell r="N203">
            <v>0</v>
          </cell>
          <cell r="O203">
            <v>0</v>
          </cell>
          <cell r="P203">
            <v>5</v>
          </cell>
          <cell r="Q203">
            <v>0</v>
          </cell>
          <cell r="R203">
            <v>0</v>
          </cell>
          <cell r="S203">
            <v>0</v>
          </cell>
          <cell r="T203">
            <v>4974.58</v>
          </cell>
          <cell r="U203">
            <v>0</v>
          </cell>
          <cell r="V203">
            <v>406.6</v>
          </cell>
          <cell r="W203">
            <v>394.48</v>
          </cell>
          <cell r="X203">
            <v>20.63</v>
          </cell>
          <cell r="Y203">
            <v>12.31</v>
          </cell>
          <cell r="Z203">
            <v>7.1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987</v>
          </cell>
          <cell r="AF203">
            <v>0</v>
          </cell>
          <cell r="AG203">
            <v>0</v>
          </cell>
          <cell r="AH203">
            <v>1828.12</v>
          </cell>
          <cell r="AI203">
            <v>3146.52</v>
          </cell>
          <cell r="AJ203">
            <v>0.06</v>
          </cell>
          <cell r="AK203">
            <v>0.52</v>
          </cell>
          <cell r="AL203">
            <v>3146</v>
          </cell>
        </row>
        <row r="204">
          <cell r="D204" t="str">
            <v>00011670</v>
          </cell>
          <cell r="E204" t="str">
            <v>王 放</v>
          </cell>
          <cell r="F204">
            <v>720</v>
          </cell>
          <cell r="G204">
            <v>499</v>
          </cell>
          <cell r="H204">
            <v>2139</v>
          </cell>
          <cell r="I204">
            <v>56</v>
          </cell>
          <cell r="J204">
            <v>20</v>
          </cell>
          <cell r="K204">
            <v>0</v>
          </cell>
          <cell r="L204">
            <v>35.630000000000003</v>
          </cell>
          <cell r="M204">
            <v>0</v>
          </cell>
          <cell r="N204">
            <v>0</v>
          </cell>
          <cell r="O204">
            <v>206</v>
          </cell>
          <cell r="P204">
            <v>5</v>
          </cell>
          <cell r="Q204">
            <v>0</v>
          </cell>
          <cell r="R204">
            <v>0</v>
          </cell>
          <cell r="S204">
            <v>0</v>
          </cell>
          <cell r="T204">
            <v>3680.63</v>
          </cell>
          <cell r="U204">
            <v>0</v>
          </cell>
          <cell r="V204">
            <v>47.5</v>
          </cell>
          <cell r="W204">
            <v>27.96</v>
          </cell>
          <cell r="X204">
            <v>12.19</v>
          </cell>
          <cell r="Y204">
            <v>0</v>
          </cell>
          <cell r="Z204">
            <v>3.6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727</v>
          </cell>
          <cell r="AF204">
            <v>0</v>
          </cell>
          <cell r="AG204">
            <v>0</v>
          </cell>
          <cell r="AH204">
            <v>818.25</v>
          </cell>
          <cell r="AI204">
            <v>2862.82</v>
          </cell>
          <cell r="AJ204">
            <v>0.44</v>
          </cell>
          <cell r="AK204">
            <v>0.82</v>
          </cell>
          <cell r="AL204">
            <v>2862</v>
          </cell>
        </row>
        <row r="205">
          <cell r="D205" t="str">
            <v>00011671</v>
          </cell>
          <cell r="E205" t="str">
            <v>高似春</v>
          </cell>
          <cell r="F205">
            <v>1040</v>
          </cell>
          <cell r="G205">
            <v>904</v>
          </cell>
          <cell r="H205">
            <v>2413</v>
          </cell>
          <cell r="I205">
            <v>56</v>
          </cell>
          <cell r="J205">
            <v>20</v>
          </cell>
          <cell r="K205">
            <v>0</v>
          </cell>
          <cell r="L205">
            <v>48.6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4481.6000000000004</v>
          </cell>
          <cell r="U205">
            <v>0</v>
          </cell>
          <cell r="V205">
            <v>0</v>
          </cell>
          <cell r="W205">
            <v>0</v>
          </cell>
          <cell r="X205">
            <v>19.440000000000001</v>
          </cell>
          <cell r="Y205">
            <v>0.32</v>
          </cell>
          <cell r="Z205">
            <v>5.2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903</v>
          </cell>
          <cell r="AF205">
            <v>0</v>
          </cell>
          <cell r="AG205">
            <v>0</v>
          </cell>
          <cell r="AH205">
            <v>927.96</v>
          </cell>
          <cell r="AI205">
            <v>3553.83</v>
          </cell>
          <cell r="AJ205">
            <v>0.19</v>
          </cell>
          <cell r="AK205">
            <v>0.83</v>
          </cell>
          <cell r="AL205">
            <v>3553</v>
          </cell>
        </row>
        <row r="206">
          <cell r="D206" t="str">
            <v>00011672</v>
          </cell>
          <cell r="E206" t="str">
            <v>梅亚东</v>
          </cell>
          <cell r="F206">
            <v>1630</v>
          </cell>
          <cell r="G206">
            <v>1109</v>
          </cell>
          <cell r="H206">
            <v>2961</v>
          </cell>
          <cell r="I206">
            <v>56</v>
          </cell>
          <cell r="J206">
            <v>0</v>
          </cell>
          <cell r="K206">
            <v>0</v>
          </cell>
          <cell r="L206">
            <v>68.48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5824.48</v>
          </cell>
          <cell r="U206">
            <v>0</v>
          </cell>
          <cell r="V206">
            <v>262.2</v>
          </cell>
          <cell r="W206">
            <v>197.54</v>
          </cell>
          <cell r="X206">
            <v>27.39</v>
          </cell>
          <cell r="Y206">
            <v>31.07</v>
          </cell>
          <cell r="Z206">
            <v>8.15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1193</v>
          </cell>
          <cell r="AF206">
            <v>0</v>
          </cell>
          <cell r="AG206">
            <v>0</v>
          </cell>
          <cell r="AH206">
            <v>1719.35</v>
          </cell>
          <cell r="AI206">
            <v>4105.57</v>
          </cell>
          <cell r="AJ206">
            <v>0.44</v>
          </cell>
          <cell r="AK206">
            <v>0.56999999999999995</v>
          </cell>
          <cell r="AL206">
            <v>4105</v>
          </cell>
        </row>
        <row r="207">
          <cell r="D207" t="str">
            <v>00011673</v>
          </cell>
          <cell r="E207" t="str">
            <v>陈森林</v>
          </cell>
          <cell r="F207">
            <v>1420</v>
          </cell>
          <cell r="G207">
            <v>1024</v>
          </cell>
          <cell r="H207">
            <v>2779</v>
          </cell>
          <cell r="I207">
            <v>56</v>
          </cell>
          <cell r="J207">
            <v>0</v>
          </cell>
          <cell r="K207">
            <v>0</v>
          </cell>
          <cell r="L207">
            <v>61.1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5340.1</v>
          </cell>
          <cell r="U207">
            <v>0</v>
          </cell>
          <cell r="V207">
            <v>267.89999999999998</v>
          </cell>
          <cell r="W207">
            <v>121.97</v>
          </cell>
          <cell r="X207">
            <v>24.44</v>
          </cell>
          <cell r="Y207">
            <v>20.149999999999999</v>
          </cell>
          <cell r="Z207">
            <v>7.1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1083</v>
          </cell>
          <cell r="AF207">
            <v>0</v>
          </cell>
          <cell r="AG207">
            <v>0</v>
          </cell>
          <cell r="AH207">
            <v>1524.56</v>
          </cell>
          <cell r="AI207">
            <v>3816.44</v>
          </cell>
          <cell r="AJ207">
            <v>0.9</v>
          </cell>
          <cell r="AK207">
            <v>0.44</v>
          </cell>
          <cell r="AL207">
            <v>3816</v>
          </cell>
        </row>
        <row r="208">
          <cell r="D208" t="str">
            <v>00011677</v>
          </cell>
          <cell r="E208" t="str">
            <v>万 俊</v>
          </cell>
          <cell r="F208">
            <v>1180</v>
          </cell>
          <cell r="G208">
            <v>1024</v>
          </cell>
          <cell r="H208">
            <v>2468</v>
          </cell>
          <cell r="I208">
            <v>56</v>
          </cell>
          <cell r="J208">
            <v>0</v>
          </cell>
          <cell r="K208">
            <v>0</v>
          </cell>
          <cell r="L208">
            <v>55.1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4783.1000000000004</v>
          </cell>
          <cell r="U208">
            <v>0</v>
          </cell>
          <cell r="V208">
            <v>100.7</v>
          </cell>
          <cell r="W208">
            <v>91.03</v>
          </cell>
          <cell r="X208">
            <v>22.04</v>
          </cell>
          <cell r="Y208">
            <v>6.87</v>
          </cell>
          <cell r="Z208">
            <v>5.9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977</v>
          </cell>
          <cell r="AF208">
            <v>0</v>
          </cell>
          <cell r="AG208">
            <v>0</v>
          </cell>
          <cell r="AH208">
            <v>1203.54</v>
          </cell>
          <cell r="AI208">
            <v>3579.77</v>
          </cell>
          <cell r="AJ208">
            <v>0.21</v>
          </cell>
          <cell r="AK208">
            <v>0.77</v>
          </cell>
          <cell r="AL208">
            <v>3579</v>
          </cell>
        </row>
        <row r="209">
          <cell r="D209" t="str">
            <v>00011680</v>
          </cell>
          <cell r="E209" t="str">
            <v>艾学山</v>
          </cell>
          <cell r="F209">
            <v>930</v>
          </cell>
          <cell r="G209">
            <v>499</v>
          </cell>
          <cell r="H209">
            <v>2376</v>
          </cell>
          <cell r="I209">
            <v>56</v>
          </cell>
          <cell r="J209">
            <v>0</v>
          </cell>
          <cell r="K209">
            <v>0</v>
          </cell>
          <cell r="L209">
            <v>35.729999999999997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Q209">
            <v>0</v>
          </cell>
          <cell r="R209">
            <v>0</v>
          </cell>
          <cell r="S209">
            <v>0</v>
          </cell>
          <cell r="T209">
            <v>3901.73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3901.73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3901.73</v>
          </cell>
          <cell r="AI209">
            <v>0.18</v>
          </cell>
          <cell r="AJ209">
            <v>0.18</v>
          </cell>
          <cell r="AK209">
            <v>0.18</v>
          </cell>
          <cell r="AL209">
            <v>0</v>
          </cell>
        </row>
        <row r="210">
          <cell r="D210" t="str">
            <v>00011681</v>
          </cell>
          <cell r="E210" t="str">
            <v>万 飚</v>
          </cell>
          <cell r="F210">
            <v>730</v>
          </cell>
          <cell r="G210">
            <v>471</v>
          </cell>
          <cell r="H210">
            <v>2102</v>
          </cell>
          <cell r="I210">
            <v>56</v>
          </cell>
          <cell r="J210">
            <v>0</v>
          </cell>
          <cell r="K210">
            <v>0</v>
          </cell>
          <cell r="L210">
            <v>30.03</v>
          </cell>
          <cell r="M210">
            <v>0</v>
          </cell>
          <cell r="N210">
            <v>0</v>
          </cell>
          <cell r="O210">
            <v>0</v>
          </cell>
          <cell r="P210">
            <v>5</v>
          </cell>
          <cell r="Q210">
            <v>0</v>
          </cell>
          <cell r="R210">
            <v>0</v>
          </cell>
          <cell r="S210">
            <v>0</v>
          </cell>
          <cell r="T210">
            <v>3394.03</v>
          </cell>
          <cell r="U210">
            <v>50</v>
          </cell>
          <cell r="V210">
            <v>0</v>
          </cell>
          <cell r="W210">
            <v>25.58</v>
          </cell>
          <cell r="X210">
            <v>12.01</v>
          </cell>
          <cell r="Y210">
            <v>0</v>
          </cell>
          <cell r="Z210">
            <v>3.65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665</v>
          </cell>
          <cell r="AF210">
            <v>0</v>
          </cell>
          <cell r="AG210">
            <v>0</v>
          </cell>
          <cell r="AH210">
            <v>756.24</v>
          </cell>
          <cell r="AI210">
            <v>2638.37</v>
          </cell>
          <cell r="AJ210">
            <v>0.57999999999999996</v>
          </cell>
          <cell r="AK210">
            <v>0.37</v>
          </cell>
          <cell r="AL210">
            <v>2638</v>
          </cell>
        </row>
        <row r="211">
          <cell r="D211" t="str">
            <v>00011682</v>
          </cell>
          <cell r="E211" t="str">
            <v>马 勇</v>
          </cell>
          <cell r="F211">
            <v>780</v>
          </cell>
          <cell r="G211">
            <v>673</v>
          </cell>
          <cell r="H211">
            <v>2139</v>
          </cell>
          <cell r="I211">
            <v>56</v>
          </cell>
          <cell r="J211">
            <v>0</v>
          </cell>
          <cell r="K211">
            <v>0</v>
          </cell>
          <cell r="L211">
            <v>36.33</v>
          </cell>
          <cell r="M211">
            <v>0</v>
          </cell>
          <cell r="N211">
            <v>0</v>
          </cell>
          <cell r="O211">
            <v>0</v>
          </cell>
          <cell r="P211">
            <v>5</v>
          </cell>
          <cell r="Q211">
            <v>0</v>
          </cell>
          <cell r="R211">
            <v>0</v>
          </cell>
          <cell r="S211">
            <v>0</v>
          </cell>
          <cell r="T211">
            <v>3689.33</v>
          </cell>
          <cell r="U211">
            <v>0</v>
          </cell>
          <cell r="V211">
            <v>0</v>
          </cell>
          <cell r="W211">
            <v>0</v>
          </cell>
          <cell r="X211">
            <v>14.53</v>
          </cell>
          <cell r="Y211">
            <v>0</v>
          </cell>
          <cell r="Z211">
            <v>3.9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734</v>
          </cell>
          <cell r="AF211">
            <v>0</v>
          </cell>
          <cell r="AG211">
            <v>0</v>
          </cell>
          <cell r="AH211">
            <v>752.43</v>
          </cell>
          <cell r="AI211">
            <v>2937.53</v>
          </cell>
          <cell r="AJ211">
            <v>0.63</v>
          </cell>
          <cell r="AK211">
            <v>0.53</v>
          </cell>
          <cell r="AL211">
            <v>2937</v>
          </cell>
        </row>
        <row r="212">
          <cell r="D212" t="str">
            <v>00011683</v>
          </cell>
          <cell r="E212" t="str">
            <v>李 琼</v>
          </cell>
          <cell r="F212">
            <v>930</v>
          </cell>
          <cell r="G212">
            <v>799</v>
          </cell>
          <cell r="H212">
            <v>2376</v>
          </cell>
          <cell r="I212">
            <v>56</v>
          </cell>
          <cell r="J212">
            <v>20</v>
          </cell>
          <cell r="K212">
            <v>0</v>
          </cell>
          <cell r="L212">
            <v>43.23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4224.2299999999996</v>
          </cell>
          <cell r="U212">
            <v>0</v>
          </cell>
          <cell r="V212">
            <v>0</v>
          </cell>
          <cell r="W212">
            <v>28.56</v>
          </cell>
          <cell r="X212">
            <v>17.29</v>
          </cell>
          <cell r="Y212">
            <v>0</v>
          </cell>
          <cell r="Z212">
            <v>4.6500000000000004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843</v>
          </cell>
          <cell r="AF212">
            <v>0</v>
          </cell>
          <cell r="AG212">
            <v>0</v>
          </cell>
          <cell r="AH212">
            <v>893.5</v>
          </cell>
          <cell r="AI212">
            <v>3331.45</v>
          </cell>
          <cell r="AJ212">
            <v>0.72</v>
          </cell>
          <cell r="AK212">
            <v>0.45</v>
          </cell>
          <cell r="AL212">
            <v>3331</v>
          </cell>
        </row>
        <row r="213">
          <cell r="D213" t="str">
            <v>00011685</v>
          </cell>
          <cell r="E213" t="str">
            <v>黄社华</v>
          </cell>
          <cell r="F213">
            <v>1420</v>
          </cell>
          <cell r="G213">
            <v>1024</v>
          </cell>
          <cell r="H213">
            <v>2779</v>
          </cell>
          <cell r="I213">
            <v>56</v>
          </cell>
          <cell r="J213">
            <v>0</v>
          </cell>
          <cell r="K213">
            <v>0</v>
          </cell>
          <cell r="L213">
            <v>61.1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5340.1</v>
          </cell>
          <cell r="U213">
            <v>0</v>
          </cell>
          <cell r="V213">
            <v>79.8</v>
          </cell>
          <cell r="W213">
            <v>0</v>
          </cell>
          <cell r="X213">
            <v>24.44</v>
          </cell>
          <cell r="Y213">
            <v>20.149999999999999</v>
          </cell>
          <cell r="Z213">
            <v>7.1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1083</v>
          </cell>
          <cell r="AF213">
            <v>0</v>
          </cell>
          <cell r="AG213">
            <v>0</v>
          </cell>
          <cell r="AH213">
            <v>1214.49</v>
          </cell>
          <cell r="AI213">
            <v>4126.07</v>
          </cell>
          <cell r="AJ213">
            <v>0.46</v>
          </cell>
          <cell r="AK213">
            <v>7.0000000000000007E-2</v>
          </cell>
          <cell r="AL213">
            <v>4126</v>
          </cell>
        </row>
        <row r="214">
          <cell r="D214" t="str">
            <v>00011686</v>
          </cell>
          <cell r="E214" t="str">
            <v>齐鄂荣</v>
          </cell>
          <cell r="F214">
            <v>1180</v>
          </cell>
          <cell r="G214">
            <v>1109</v>
          </cell>
          <cell r="H214">
            <v>2468</v>
          </cell>
          <cell r="I214">
            <v>56</v>
          </cell>
          <cell r="J214">
            <v>0</v>
          </cell>
          <cell r="K214">
            <v>0</v>
          </cell>
          <cell r="L214">
            <v>57.23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4870.2299999999996</v>
          </cell>
          <cell r="U214">
            <v>0</v>
          </cell>
          <cell r="V214">
            <v>0</v>
          </cell>
          <cell r="W214">
            <v>3.57</v>
          </cell>
          <cell r="X214">
            <v>22.89</v>
          </cell>
          <cell r="Y214">
            <v>8.76</v>
          </cell>
          <cell r="Z214">
            <v>5.9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998</v>
          </cell>
          <cell r="AF214">
            <v>0</v>
          </cell>
          <cell r="AG214">
            <v>0</v>
          </cell>
          <cell r="AH214">
            <v>1039.1199999999999</v>
          </cell>
          <cell r="AI214">
            <v>3831.53</v>
          </cell>
          <cell r="AJ214">
            <v>0.42</v>
          </cell>
          <cell r="AK214">
            <v>0.53</v>
          </cell>
          <cell r="AL214">
            <v>3831</v>
          </cell>
        </row>
        <row r="215">
          <cell r="D215" t="str">
            <v>00011688</v>
          </cell>
          <cell r="E215" t="str">
            <v>赵 昕</v>
          </cell>
          <cell r="F215">
            <v>1180</v>
          </cell>
          <cell r="G215">
            <v>1109</v>
          </cell>
          <cell r="H215">
            <v>2468</v>
          </cell>
          <cell r="I215">
            <v>56</v>
          </cell>
          <cell r="J215">
            <v>0</v>
          </cell>
          <cell r="K215">
            <v>0</v>
          </cell>
          <cell r="L215">
            <v>57.23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4870.2299999999996</v>
          </cell>
          <cell r="U215">
            <v>0</v>
          </cell>
          <cell r="V215">
            <v>0</v>
          </cell>
          <cell r="W215">
            <v>122.57</v>
          </cell>
          <cell r="X215">
            <v>22.89</v>
          </cell>
          <cell r="Y215">
            <v>8.76</v>
          </cell>
          <cell r="Z215">
            <v>5.9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998</v>
          </cell>
          <cell r="AF215">
            <v>0</v>
          </cell>
          <cell r="AG215">
            <v>0</v>
          </cell>
          <cell r="AH215">
            <v>1158.1199999999999</v>
          </cell>
          <cell r="AI215">
            <v>3712.63</v>
          </cell>
          <cell r="AJ215">
            <v>0.52</v>
          </cell>
          <cell r="AK215">
            <v>0.63</v>
          </cell>
          <cell r="AL215">
            <v>3712</v>
          </cell>
        </row>
        <row r="216">
          <cell r="D216" t="str">
            <v>00011689</v>
          </cell>
          <cell r="E216" t="str">
            <v>王京辉</v>
          </cell>
          <cell r="F216">
            <v>780</v>
          </cell>
          <cell r="G216">
            <v>643</v>
          </cell>
          <cell r="H216">
            <v>2139</v>
          </cell>
          <cell r="I216">
            <v>56</v>
          </cell>
          <cell r="J216">
            <v>20</v>
          </cell>
          <cell r="K216">
            <v>0</v>
          </cell>
          <cell r="L216">
            <v>35.58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3673.58</v>
          </cell>
          <cell r="U216">
            <v>0</v>
          </cell>
          <cell r="V216">
            <v>15.2</v>
          </cell>
          <cell r="W216">
            <v>33.909999999999997</v>
          </cell>
          <cell r="X216">
            <v>14.23</v>
          </cell>
          <cell r="Y216">
            <v>0</v>
          </cell>
          <cell r="Z216">
            <v>3.9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727</v>
          </cell>
          <cell r="AF216">
            <v>0</v>
          </cell>
          <cell r="AG216">
            <v>0</v>
          </cell>
          <cell r="AH216">
            <v>794.24</v>
          </cell>
          <cell r="AI216">
            <v>2879.35</v>
          </cell>
          <cell r="AJ216">
            <v>0.01</v>
          </cell>
          <cell r="AK216">
            <v>0.35</v>
          </cell>
          <cell r="AL216">
            <v>2879</v>
          </cell>
        </row>
        <row r="217">
          <cell r="D217" t="str">
            <v>00011692</v>
          </cell>
          <cell r="E217" t="str">
            <v>槐文信</v>
          </cell>
          <cell r="F217">
            <v>1900</v>
          </cell>
          <cell r="G217">
            <v>1244</v>
          </cell>
          <cell r="H217">
            <v>3108</v>
          </cell>
          <cell r="I217">
            <v>56</v>
          </cell>
          <cell r="J217">
            <v>0</v>
          </cell>
          <cell r="K217">
            <v>0</v>
          </cell>
          <cell r="L217">
            <v>78.599999999999994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6386.6</v>
          </cell>
          <cell r="U217">
            <v>0</v>
          </cell>
          <cell r="V217">
            <v>123.5</v>
          </cell>
          <cell r="W217">
            <v>112.45</v>
          </cell>
          <cell r="X217">
            <v>31.44</v>
          </cell>
          <cell r="Y217">
            <v>43.73</v>
          </cell>
          <cell r="Z217">
            <v>9.5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1319</v>
          </cell>
          <cell r="AF217">
            <v>0</v>
          </cell>
          <cell r="AG217">
            <v>0</v>
          </cell>
          <cell r="AH217">
            <v>1639.62</v>
          </cell>
          <cell r="AI217">
            <v>4747.09</v>
          </cell>
          <cell r="AJ217">
            <v>0.11</v>
          </cell>
          <cell r="AK217">
            <v>0.09</v>
          </cell>
          <cell r="AL217">
            <v>4747</v>
          </cell>
        </row>
        <row r="218">
          <cell r="D218" t="str">
            <v>00011693</v>
          </cell>
          <cell r="E218" t="str">
            <v>杨晓亭</v>
          </cell>
          <cell r="F218">
            <v>1180</v>
          </cell>
          <cell r="G218">
            <v>904</v>
          </cell>
          <cell r="H218">
            <v>2468</v>
          </cell>
          <cell r="I218">
            <v>56</v>
          </cell>
          <cell r="J218">
            <v>0</v>
          </cell>
          <cell r="K218">
            <v>0</v>
          </cell>
          <cell r="L218">
            <v>52.1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4660.1000000000004</v>
          </cell>
          <cell r="U218">
            <v>0</v>
          </cell>
          <cell r="V218">
            <v>366.7</v>
          </cell>
          <cell r="W218">
            <v>60.69</v>
          </cell>
          <cell r="X218">
            <v>20.84</v>
          </cell>
          <cell r="Y218">
            <v>4.2</v>
          </cell>
          <cell r="Z218">
            <v>5.9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947</v>
          </cell>
          <cell r="AF218">
            <v>0</v>
          </cell>
          <cell r="AG218">
            <v>0</v>
          </cell>
          <cell r="AH218">
            <v>1405.33</v>
          </cell>
          <cell r="AI218">
            <v>3255.03</v>
          </cell>
          <cell r="AJ218">
            <v>0.26</v>
          </cell>
          <cell r="AK218">
            <v>0.03</v>
          </cell>
          <cell r="AL218">
            <v>3255</v>
          </cell>
        </row>
        <row r="219">
          <cell r="D219" t="str">
            <v>00011695</v>
          </cell>
          <cell r="E219" t="str">
            <v>杨万红</v>
          </cell>
          <cell r="F219">
            <v>615</v>
          </cell>
          <cell r="G219">
            <v>530</v>
          </cell>
          <cell r="H219">
            <v>1919</v>
          </cell>
          <cell r="I219">
            <v>56</v>
          </cell>
          <cell r="J219">
            <v>20</v>
          </cell>
          <cell r="K219">
            <v>0</v>
          </cell>
          <cell r="L219">
            <v>28.63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3168.63</v>
          </cell>
          <cell r="U219">
            <v>0</v>
          </cell>
          <cell r="V219">
            <v>0</v>
          </cell>
          <cell r="W219">
            <v>0</v>
          </cell>
          <cell r="X219">
            <v>11.45</v>
          </cell>
          <cell r="Y219">
            <v>0</v>
          </cell>
          <cell r="Z219">
            <v>3.08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618</v>
          </cell>
          <cell r="AF219">
            <v>0</v>
          </cell>
          <cell r="AG219">
            <v>0</v>
          </cell>
          <cell r="AH219">
            <v>632.53</v>
          </cell>
          <cell r="AI219">
            <v>2536.9699999999998</v>
          </cell>
          <cell r="AJ219">
            <v>0.87</v>
          </cell>
          <cell r="AK219">
            <v>0.97</v>
          </cell>
          <cell r="AL219">
            <v>2536</v>
          </cell>
        </row>
        <row r="220">
          <cell r="D220" t="str">
            <v>00011697</v>
          </cell>
          <cell r="E220" t="str">
            <v>吕一红</v>
          </cell>
          <cell r="F220">
            <v>620</v>
          </cell>
          <cell r="G220">
            <v>767</v>
          </cell>
          <cell r="H220">
            <v>0</v>
          </cell>
          <cell r="I220">
            <v>56</v>
          </cell>
          <cell r="J220">
            <v>20</v>
          </cell>
          <cell r="K220">
            <v>1970</v>
          </cell>
          <cell r="L220">
            <v>34.68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3467.68</v>
          </cell>
          <cell r="U220">
            <v>0</v>
          </cell>
          <cell r="V220">
            <v>0</v>
          </cell>
          <cell r="W220">
            <v>23.8</v>
          </cell>
          <cell r="X220">
            <v>13.87</v>
          </cell>
          <cell r="Y220">
            <v>0</v>
          </cell>
          <cell r="Z220">
            <v>3.1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841</v>
          </cell>
          <cell r="AF220">
            <v>0</v>
          </cell>
          <cell r="AG220">
            <v>0</v>
          </cell>
          <cell r="AH220">
            <v>881.77</v>
          </cell>
          <cell r="AI220">
            <v>2586.34</v>
          </cell>
          <cell r="AJ220">
            <v>0.43</v>
          </cell>
          <cell r="AK220">
            <v>0.34</v>
          </cell>
          <cell r="AL220">
            <v>2586</v>
          </cell>
        </row>
        <row r="221">
          <cell r="D221" t="str">
            <v>00011699</v>
          </cell>
          <cell r="E221" t="str">
            <v>赵明登</v>
          </cell>
          <cell r="F221">
            <v>1420</v>
          </cell>
          <cell r="G221">
            <v>944</v>
          </cell>
          <cell r="H221">
            <v>2779</v>
          </cell>
          <cell r="I221">
            <v>56</v>
          </cell>
          <cell r="J221">
            <v>0</v>
          </cell>
          <cell r="K221">
            <v>0</v>
          </cell>
          <cell r="L221">
            <v>59.1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5258.1</v>
          </cell>
          <cell r="U221">
            <v>0</v>
          </cell>
          <cell r="V221">
            <v>110.2</v>
          </cell>
          <cell r="W221">
            <v>93.41</v>
          </cell>
          <cell r="X221">
            <v>23.64</v>
          </cell>
          <cell r="Y221">
            <v>18.37</v>
          </cell>
          <cell r="Z221">
            <v>7.1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1063</v>
          </cell>
          <cell r="AF221">
            <v>0</v>
          </cell>
          <cell r="AG221">
            <v>0</v>
          </cell>
          <cell r="AH221">
            <v>1315.72</v>
          </cell>
          <cell r="AI221">
            <v>3942.9</v>
          </cell>
          <cell r="AJ221">
            <v>0.52</v>
          </cell>
          <cell r="AK221">
            <v>0.9</v>
          </cell>
          <cell r="AL221">
            <v>3942</v>
          </cell>
        </row>
        <row r="222">
          <cell r="D222" t="str">
            <v>00011702</v>
          </cell>
          <cell r="E222" t="str">
            <v>陈隆斌</v>
          </cell>
          <cell r="F222">
            <v>615</v>
          </cell>
          <cell r="G222">
            <v>774</v>
          </cell>
          <cell r="H222">
            <v>0</v>
          </cell>
          <cell r="I222">
            <v>56</v>
          </cell>
          <cell r="J222">
            <v>0</v>
          </cell>
          <cell r="K222">
            <v>1994</v>
          </cell>
          <cell r="L222">
            <v>34.729999999999997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3473.73</v>
          </cell>
          <cell r="U222">
            <v>0</v>
          </cell>
          <cell r="V222">
            <v>0</v>
          </cell>
          <cell r="W222">
            <v>187.42</v>
          </cell>
          <cell r="X222">
            <v>13.89</v>
          </cell>
          <cell r="Y222">
            <v>0</v>
          </cell>
          <cell r="Z222">
            <v>3.08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860</v>
          </cell>
          <cell r="AF222">
            <v>0</v>
          </cell>
          <cell r="AG222">
            <v>0</v>
          </cell>
          <cell r="AH222">
            <v>1064.3900000000001</v>
          </cell>
          <cell r="AI222">
            <v>2410.0100000000002</v>
          </cell>
          <cell r="AJ222">
            <v>0.67</v>
          </cell>
          <cell r="AK222">
            <v>0.01</v>
          </cell>
          <cell r="AL222">
            <v>2410</v>
          </cell>
        </row>
        <row r="223">
          <cell r="D223" t="str">
            <v>00011704</v>
          </cell>
          <cell r="E223" t="str">
            <v>陈大宏</v>
          </cell>
          <cell r="F223">
            <v>1180</v>
          </cell>
          <cell r="G223">
            <v>944</v>
          </cell>
          <cell r="H223">
            <v>2468</v>
          </cell>
          <cell r="I223">
            <v>56</v>
          </cell>
          <cell r="J223">
            <v>0</v>
          </cell>
          <cell r="K223">
            <v>0</v>
          </cell>
          <cell r="L223">
            <v>53.1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4701.1000000000004</v>
          </cell>
          <cell r="U223">
            <v>0</v>
          </cell>
          <cell r="V223">
            <v>710.6</v>
          </cell>
          <cell r="W223">
            <v>1983.13</v>
          </cell>
          <cell r="X223">
            <v>21.24</v>
          </cell>
          <cell r="Y223">
            <v>5.09</v>
          </cell>
          <cell r="Z223">
            <v>5.9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957</v>
          </cell>
          <cell r="AF223">
            <v>0</v>
          </cell>
          <cell r="AG223">
            <v>0</v>
          </cell>
          <cell r="AH223">
            <v>3682.96</v>
          </cell>
          <cell r="AI223">
            <v>1018.77</v>
          </cell>
          <cell r="AJ223">
            <v>0.63</v>
          </cell>
          <cell r="AK223">
            <v>0.77</v>
          </cell>
          <cell r="AL223">
            <v>1018</v>
          </cell>
        </row>
        <row r="224">
          <cell r="D224" t="str">
            <v>00011876</v>
          </cell>
          <cell r="E224" t="str">
            <v>高作平</v>
          </cell>
          <cell r="F224">
            <v>1420</v>
          </cell>
          <cell r="G224">
            <v>1154</v>
          </cell>
          <cell r="H224">
            <v>2779</v>
          </cell>
          <cell r="I224">
            <v>56</v>
          </cell>
          <cell r="J224">
            <v>0</v>
          </cell>
          <cell r="K224">
            <v>0</v>
          </cell>
          <cell r="L224">
            <v>64.349999999999994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5473.35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5473.35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5473.35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</row>
        <row r="225">
          <cell r="D225" t="str">
            <v>00011884</v>
          </cell>
          <cell r="E225" t="str">
            <v>林 涛</v>
          </cell>
          <cell r="F225">
            <v>730</v>
          </cell>
          <cell r="G225">
            <v>443</v>
          </cell>
          <cell r="H225">
            <v>2102</v>
          </cell>
          <cell r="I225">
            <v>56</v>
          </cell>
          <cell r="J225">
            <v>20</v>
          </cell>
          <cell r="K225">
            <v>0</v>
          </cell>
          <cell r="L225">
            <v>29.33</v>
          </cell>
          <cell r="M225">
            <v>0</v>
          </cell>
          <cell r="N225">
            <v>0</v>
          </cell>
          <cell r="O225">
            <v>0</v>
          </cell>
          <cell r="P225">
            <v>5</v>
          </cell>
          <cell r="Q225">
            <v>0</v>
          </cell>
          <cell r="R225">
            <v>0</v>
          </cell>
          <cell r="S225">
            <v>0</v>
          </cell>
          <cell r="T225">
            <v>3385.33</v>
          </cell>
          <cell r="U225">
            <v>100</v>
          </cell>
          <cell r="V225">
            <v>480.7</v>
          </cell>
          <cell r="W225">
            <v>83.3</v>
          </cell>
          <cell r="X225">
            <v>11.73</v>
          </cell>
          <cell r="Y225">
            <v>0</v>
          </cell>
          <cell r="Z225">
            <v>3.65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658</v>
          </cell>
          <cell r="AF225">
            <v>0</v>
          </cell>
          <cell r="AG225">
            <v>0</v>
          </cell>
          <cell r="AH225">
            <v>1337.38</v>
          </cell>
          <cell r="AI225">
            <v>2048.62</v>
          </cell>
          <cell r="AJ225">
            <v>0.67</v>
          </cell>
          <cell r="AK225">
            <v>0.62</v>
          </cell>
          <cell r="AL225">
            <v>2048</v>
          </cell>
        </row>
        <row r="226">
          <cell r="D226" t="str">
            <v>00012061</v>
          </cell>
          <cell r="E226" t="str">
            <v>杨国录</v>
          </cell>
          <cell r="F226">
            <v>1900</v>
          </cell>
          <cell r="G226">
            <v>1434</v>
          </cell>
          <cell r="H226">
            <v>3108</v>
          </cell>
          <cell r="I226">
            <v>56</v>
          </cell>
          <cell r="J226">
            <v>0</v>
          </cell>
          <cell r="K226">
            <v>0</v>
          </cell>
          <cell r="L226">
            <v>83.35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6581.35</v>
          </cell>
          <cell r="U226">
            <v>0</v>
          </cell>
          <cell r="V226">
            <v>0</v>
          </cell>
          <cell r="W226">
            <v>38.67</v>
          </cell>
          <cell r="X226">
            <v>33.340000000000003</v>
          </cell>
          <cell r="Y226">
            <v>54.87</v>
          </cell>
          <cell r="Z226">
            <v>9.5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1366</v>
          </cell>
          <cell r="AF226">
            <v>0</v>
          </cell>
          <cell r="AG226">
            <v>0</v>
          </cell>
          <cell r="AH226">
            <v>1502.38</v>
          </cell>
          <cell r="AI226">
            <v>5079.33</v>
          </cell>
          <cell r="AJ226">
            <v>0.36</v>
          </cell>
          <cell r="AK226">
            <v>0.33</v>
          </cell>
          <cell r="AL226">
            <v>5079</v>
          </cell>
        </row>
        <row r="227">
          <cell r="D227" t="str">
            <v>00012181</v>
          </cell>
          <cell r="E227" t="str">
            <v>屈文谦</v>
          </cell>
          <cell r="F227">
            <v>1045</v>
          </cell>
          <cell r="G227">
            <v>613</v>
          </cell>
          <cell r="H227">
            <v>2779</v>
          </cell>
          <cell r="I227">
            <v>56</v>
          </cell>
          <cell r="J227">
            <v>0</v>
          </cell>
          <cell r="K227">
            <v>0</v>
          </cell>
          <cell r="L227">
            <v>43.55</v>
          </cell>
          <cell r="M227">
            <v>0</v>
          </cell>
          <cell r="N227">
            <v>0</v>
          </cell>
          <cell r="O227">
            <v>84</v>
          </cell>
          <cell r="P227">
            <v>5</v>
          </cell>
          <cell r="Q227">
            <v>0</v>
          </cell>
          <cell r="R227">
            <v>0</v>
          </cell>
          <cell r="S227">
            <v>0</v>
          </cell>
          <cell r="T227">
            <v>4625.55</v>
          </cell>
          <cell r="U227">
            <v>0</v>
          </cell>
          <cell r="V227">
            <v>0</v>
          </cell>
          <cell r="W227">
            <v>0</v>
          </cell>
          <cell r="X227">
            <v>16.579999999999998</v>
          </cell>
          <cell r="Y227">
            <v>4.5999999999999996</v>
          </cell>
          <cell r="Z227">
            <v>5.23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907</v>
          </cell>
          <cell r="AF227">
            <v>0</v>
          </cell>
          <cell r="AG227">
            <v>0</v>
          </cell>
          <cell r="AH227">
            <v>933.41</v>
          </cell>
          <cell r="AI227">
            <v>3692.37</v>
          </cell>
          <cell r="AJ227">
            <v>0.23</v>
          </cell>
          <cell r="AK227">
            <v>0.37</v>
          </cell>
          <cell r="AL227">
            <v>3692</v>
          </cell>
        </row>
        <row r="228">
          <cell r="D228" t="str">
            <v>00012212</v>
          </cell>
          <cell r="E228" t="str">
            <v>常晓林</v>
          </cell>
          <cell r="F228">
            <v>1900</v>
          </cell>
          <cell r="G228">
            <v>1199</v>
          </cell>
          <cell r="H228">
            <v>3108</v>
          </cell>
          <cell r="I228">
            <v>56</v>
          </cell>
          <cell r="J228">
            <v>0</v>
          </cell>
          <cell r="K228">
            <v>0</v>
          </cell>
          <cell r="L228">
            <v>77.48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6340.48</v>
          </cell>
          <cell r="U228">
            <v>0</v>
          </cell>
          <cell r="V228">
            <v>161.5</v>
          </cell>
          <cell r="W228">
            <v>192.78</v>
          </cell>
          <cell r="X228">
            <v>30.99</v>
          </cell>
          <cell r="Y228">
            <v>42.75</v>
          </cell>
          <cell r="Z228">
            <v>9.5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1307</v>
          </cell>
          <cell r="AF228">
            <v>0</v>
          </cell>
          <cell r="AG228">
            <v>0</v>
          </cell>
          <cell r="AH228">
            <v>1744.52</v>
          </cell>
          <cell r="AI228">
            <v>4596.3999999999996</v>
          </cell>
          <cell r="AJ228">
            <v>0.44</v>
          </cell>
          <cell r="AK228">
            <v>0.4</v>
          </cell>
          <cell r="AL228">
            <v>4596</v>
          </cell>
        </row>
        <row r="229">
          <cell r="D229" t="str">
            <v>00012510</v>
          </cell>
          <cell r="E229" t="str">
            <v>周玉霞</v>
          </cell>
          <cell r="F229">
            <v>850</v>
          </cell>
          <cell r="G229">
            <v>555</v>
          </cell>
          <cell r="H229">
            <v>2413</v>
          </cell>
          <cell r="I229">
            <v>56</v>
          </cell>
          <cell r="J229">
            <v>20</v>
          </cell>
          <cell r="K229">
            <v>0</v>
          </cell>
          <cell r="L229">
            <v>36.43</v>
          </cell>
          <cell r="M229">
            <v>0</v>
          </cell>
          <cell r="N229">
            <v>200</v>
          </cell>
          <cell r="O229">
            <v>52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4182.43</v>
          </cell>
          <cell r="U229">
            <v>0</v>
          </cell>
          <cell r="V229">
            <v>0</v>
          </cell>
          <cell r="W229">
            <v>0</v>
          </cell>
          <cell r="X229">
            <v>14.05</v>
          </cell>
          <cell r="Y229">
            <v>0</v>
          </cell>
          <cell r="Z229">
            <v>4.25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781</v>
          </cell>
          <cell r="AF229">
            <v>0</v>
          </cell>
          <cell r="AG229">
            <v>0</v>
          </cell>
          <cell r="AH229">
            <v>799.3</v>
          </cell>
          <cell r="AI229">
            <v>3383.4</v>
          </cell>
          <cell r="AJ229">
            <v>0.27</v>
          </cell>
          <cell r="AK229">
            <v>0.4</v>
          </cell>
          <cell r="AL229">
            <v>3383</v>
          </cell>
        </row>
        <row r="230">
          <cell r="D230" t="str">
            <v>00014917</v>
          </cell>
          <cell r="E230" t="str">
            <v>茆 智</v>
          </cell>
          <cell r="F230">
            <v>2800</v>
          </cell>
          <cell r="G230">
            <v>2520</v>
          </cell>
          <cell r="H230">
            <v>3656</v>
          </cell>
          <cell r="I230">
            <v>56</v>
          </cell>
          <cell r="J230">
            <v>0</v>
          </cell>
          <cell r="K230">
            <v>0</v>
          </cell>
          <cell r="L230">
            <v>133</v>
          </cell>
          <cell r="M230">
            <v>0</v>
          </cell>
          <cell r="N230">
            <v>1000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10165</v>
          </cell>
          <cell r="U230">
            <v>0</v>
          </cell>
          <cell r="V230">
            <v>0</v>
          </cell>
          <cell r="W230">
            <v>51.77</v>
          </cell>
          <cell r="X230">
            <v>0</v>
          </cell>
          <cell r="Y230">
            <v>0</v>
          </cell>
          <cell r="Z230">
            <v>14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1369</v>
          </cell>
          <cell r="AF230">
            <v>0</v>
          </cell>
          <cell r="AG230">
            <v>0</v>
          </cell>
          <cell r="AH230">
            <v>1434.77</v>
          </cell>
          <cell r="AI230">
            <v>8730.51</v>
          </cell>
          <cell r="AJ230">
            <v>0.28000000000000003</v>
          </cell>
          <cell r="AK230">
            <v>0.51</v>
          </cell>
          <cell r="AL230">
            <v>8730</v>
          </cell>
        </row>
        <row r="231">
          <cell r="D231" t="str">
            <v>00030122</v>
          </cell>
          <cell r="E231" t="str">
            <v>张艳军</v>
          </cell>
          <cell r="F231">
            <v>730</v>
          </cell>
          <cell r="G231">
            <v>365</v>
          </cell>
          <cell r="H231">
            <v>2102</v>
          </cell>
          <cell r="I231">
            <v>56</v>
          </cell>
          <cell r="J231">
            <v>0</v>
          </cell>
          <cell r="K231">
            <v>0</v>
          </cell>
          <cell r="L231">
            <v>27.38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3280.38</v>
          </cell>
          <cell r="U231">
            <v>0</v>
          </cell>
          <cell r="V231">
            <v>0</v>
          </cell>
          <cell r="W231">
            <v>0</v>
          </cell>
          <cell r="X231">
            <v>10.95</v>
          </cell>
          <cell r="Y231">
            <v>0</v>
          </cell>
          <cell r="Z231">
            <v>3.65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639</v>
          </cell>
          <cell r="AF231">
            <v>0</v>
          </cell>
          <cell r="AG231">
            <v>0</v>
          </cell>
          <cell r="AH231">
            <v>653.6</v>
          </cell>
          <cell r="AI231">
            <v>2627.23</v>
          </cell>
          <cell r="AJ231">
            <v>0.45</v>
          </cell>
          <cell r="AK231">
            <v>0.23</v>
          </cell>
          <cell r="AL231">
            <v>2627</v>
          </cell>
        </row>
        <row r="232">
          <cell r="D232" t="str">
            <v>00030234</v>
          </cell>
          <cell r="E232" t="str">
            <v>DavidRhe</v>
          </cell>
          <cell r="F232">
            <v>730</v>
          </cell>
          <cell r="G232">
            <v>317</v>
          </cell>
          <cell r="H232">
            <v>2102</v>
          </cell>
          <cell r="I232">
            <v>56</v>
          </cell>
          <cell r="J232">
            <v>0</v>
          </cell>
          <cell r="K232">
            <v>0</v>
          </cell>
          <cell r="L232">
            <v>26.18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3231.18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3231.34</v>
          </cell>
          <cell r="AJ232">
            <v>0.16</v>
          </cell>
          <cell r="AK232">
            <v>0.34</v>
          </cell>
          <cell r="AL232">
            <v>3231</v>
          </cell>
        </row>
        <row r="233">
          <cell r="D233" t="str">
            <v>00030237</v>
          </cell>
          <cell r="E233" t="str">
            <v>林 琳</v>
          </cell>
          <cell r="F233">
            <v>930</v>
          </cell>
          <cell r="G233">
            <v>391</v>
          </cell>
          <cell r="H233">
            <v>2376</v>
          </cell>
          <cell r="I233">
            <v>56</v>
          </cell>
          <cell r="J233">
            <v>20</v>
          </cell>
          <cell r="K233">
            <v>0</v>
          </cell>
          <cell r="L233">
            <v>33.020000000000003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3806.02</v>
          </cell>
          <cell r="U233">
            <v>0</v>
          </cell>
          <cell r="V233">
            <v>0</v>
          </cell>
          <cell r="W233">
            <v>0</v>
          </cell>
          <cell r="X233">
            <v>13.21</v>
          </cell>
          <cell r="Y233">
            <v>0</v>
          </cell>
          <cell r="Z233">
            <v>4.6500000000000004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741</v>
          </cell>
          <cell r="AF233">
            <v>0</v>
          </cell>
          <cell r="AG233">
            <v>0</v>
          </cell>
          <cell r="AH233">
            <v>758.86</v>
          </cell>
          <cell r="AI233">
            <v>3047.78</v>
          </cell>
          <cell r="AJ233">
            <v>0.62</v>
          </cell>
          <cell r="AK233">
            <v>0.78</v>
          </cell>
          <cell r="AL233">
            <v>3047</v>
          </cell>
        </row>
        <row r="234">
          <cell r="D234" t="str">
            <v>00030264</v>
          </cell>
          <cell r="E234" t="str">
            <v>向 昭</v>
          </cell>
          <cell r="F234">
            <v>770</v>
          </cell>
          <cell r="G234">
            <v>0</v>
          </cell>
          <cell r="H234">
            <v>1864</v>
          </cell>
          <cell r="I234">
            <v>56</v>
          </cell>
          <cell r="J234">
            <v>20</v>
          </cell>
          <cell r="K234">
            <v>0</v>
          </cell>
          <cell r="L234">
            <v>19.25</v>
          </cell>
          <cell r="M234">
            <v>0</v>
          </cell>
          <cell r="N234">
            <v>200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2929.25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3.85</v>
          </cell>
          <cell r="AA234">
            <v>0</v>
          </cell>
          <cell r="AB234">
            <v>234.7</v>
          </cell>
          <cell r="AC234">
            <v>0</v>
          </cell>
          <cell r="AD234">
            <v>0</v>
          </cell>
          <cell r="AE234">
            <v>517</v>
          </cell>
          <cell r="AF234">
            <v>0</v>
          </cell>
          <cell r="AG234">
            <v>0</v>
          </cell>
          <cell r="AH234">
            <v>755.55</v>
          </cell>
          <cell r="AI234">
            <v>2174.4499999999998</v>
          </cell>
          <cell r="AJ234">
            <v>0.75</v>
          </cell>
          <cell r="AK234">
            <v>0.45</v>
          </cell>
          <cell r="AL234">
            <v>2174</v>
          </cell>
        </row>
        <row r="235">
          <cell r="D235" t="str">
            <v>00030275</v>
          </cell>
          <cell r="E235" t="str">
            <v>陈 欢</v>
          </cell>
          <cell r="F235">
            <v>770</v>
          </cell>
          <cell r="G235">
            <v>0</v>
          </cell>
          <cell r="H235">
            <v>1882</v>
          </cell>
          <cell r="I235">
            <v>56</v>
          </cell>
          <cell r="J235">
            <v>20</v>
          </cell>
          <cell r="K235">
            <v>0</v>
          </cell>
          <cell r="L235">
            <v>19.25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2747.25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3.85</v>
          </cell>
          <cell r="AA235">
            <v>0</v>
          </cell>
          <cell r="AB235">
            <v>236.13</v>
          </cell>
          <cell r="AC235">
            <v>0</v>
          </cell>
          <cell r="AD235">
            <v>0</v>
          </cell>
          <cell r="AE235">
            <v>520</v>
          </cell>
          <cell r="AF235">
            <v>0</v>
          </cell>
          <cell r="AG235">
            <v>0</v>
          </cell>
          <cell r="AH235">
            <v>759.98</v>
          </cell>
          <cell r="AI235">
            <v>1987.72</v>
          </cell>
          <cell r="AJ235">
            <v>0.45</v>
          </cell>
          <cell r="AK235">
            <v>0.72</v>
          </cell>
          <cell r="AL235">
            <v>1987</v>
          </cell>
        </row>
        <row r="236">
          <cell r="D236" t="str">
            <v>00030305</v>
          </cell>
          <cell r="E236" t="str">
            <v>吴 琳</v>
          </cell>
          <cell r="F236">
            <v>590</v>
          </cell>
          <cell r="G236">
            <v>215</v>
          </cell>
          <cell r="H236">
            <v>1882</v>
          </cell>
          <cell r="I236">
            <v>56</v>
          </cell>
          <cell r="J236">
            <v>20</v>
          </cell>
          <cell r="K236">
            <v>0</v>
          </cell>
          <cell r="L236">
            <v>20.12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2783.12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2.95</v>
          </cell>
          <cell r="AA236">
            <v>0</v>
          </cell>
          <cell r="AB236">
            <v>239.98</v>
          </cell>
          <cell r="AC236">
            <v>0</v>
          </cell>
          <cell r="AD236">
            <v>0</v>
          </cell>
          <cell r="AE236">
            <v>529</v>
          </cell>
          <cell r="AF236">
            <v>0</v>
          </cell>
          <cell r="AG236">
            <v>0</v>
          </cell>
          <cell r="AH236">
            <v>771.93</v>
          </cell>
          <cell r="AI236">
            <v>2011.89</v>
          </cell>
          <cell r="AJ236">
            <v>0.7</v>
          </cell>
          <cell r="AK236">
            <v>0.89</v>
          </cell>
          <cell r="AL236">
            <v>2011</v>
          </cell>
        </row>
        <row r="237">
          <cell r="D237" t="str">
            <v>00030306</v>
          </cell>
          <cell r="E237" t="str">
            <v>李 丹</v>
          </cell>
          <cell r="F237">
            <v>590</v>
          </cell>
          <cell r="G237">
            <v>273</v>
          </cell>
          <cell r="H237">
            <v>1882</v>
          </cell>
          <cell r="I237">
            <v>56</v>
          </cell>
          <cell r="J237">
            <v>20</v>
          </cell>
          <cell r="K237">
            <v>0</v>
          </cell>
          <cell r="L237">
            <v>21.57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2842.57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2.95</v>
          </cell>
          <cell r="AA237">
            <v>0</v>
          </cell>
          <cell r="AB237">
            <v>246.36</v>
          </cell>
          <cell r="AC237">
            <v>0</v>
          </cell>
          <cell r="AD237">
            <v>0</v>
          </cell>
          <cell r="AE237">
            <v>544</v>
          </cell>
          <cell r="AF237">
            <v>0</v>
          </cell>
          <cell r="AG237">
            <v>0</v>
          </cell>
          <cell r="AH237">
            <v>793.31</v>
          </cell>
          <cell r="AI237">
            <v>2049.66</v>
          </cell>
          <cell r="AJ237">
            <v>0.4</v>
          </cell>
          <cell r="AK237">
            <v>0.66</v>
          </cell>
          <cell r="AL237">
            <v>2049</v>
          </cell>
        </row>
        <row r="238">
          <cell r="D238" t="str">
            <v>00030310</v>
          </cell>
          <cell r="E238" t="str">
            <v>刘嘉梅</v>
          </cell>
          <cell r="F238">
            <v>770</v>
          </cell>
          <cell r="G238">
            <v>0</v>
          </cell>
          <cell r="H238">
            <v>1864</v>
          </cell>
          <cell r="I238">
            <v>56</v>
          </cell>
          <cell r="J238">
            <v>20</v>
          </cell>
          <cell r="K238">
            <v>0</v>
          </cell>
          <cell r="L238">
            <v>19.25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2729.25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3.85</v>
          </cell>
          <cell r="AA238">
            <v>0</v>
          </cell>
          <cell r="AB238">
            <v>234.7</v>
          </cell>
          <cell r="AC238">
            <v>0</v>
          </cell>
          <cell r="AD238">
            <v>0</v>
          </cell>
          <cell r="AE238">
            <v>517</v>
          </cell>
          <cell r="AF238">
            <v>0</v>
          </cell>
          <cell r="AG238">
            <v>0</v>
          </cell>
          <cell r="AH238">
            <v>755.55</v>
          </cell>
          <cell r="AI238">
            <v>1974.55</v>
          </cell>
          <cell r="AJ238">
            <v>0.85</v>
          </cell>
          <cell r="AK238">
            <v>0.55000000000000004</v>
          </cell>
          <cell r="AL238">
            <v>1974</v>
          </cell>
        </row>
        <row r="239">
          <cell r="D239" t="str">
            <v>00030335</v>
          </cell>
          <cell r="E239" t="str">
            <v>郭志伟</v>
          </cell>
          <cell r="F239">
            <v>730</v>
          </cell>
          <cell r="G239">
            <v>317</v>
          </cell>
          <cell r="H239">
            <v>2102</v>
          </cell>
          <cell r="I239">
            <v>56</v>
          </cell>
          <cell r="J239">
            <v>0</v>
          </cell>
          <cell r="K239">
            <v>0</v>
          </cell>
          <cell r="L239">
            <v>526.17999999999995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3731.18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3731.98</v>
          </cell>
          <cell r="AJ239">
            <v>0.8</v>
          </cell>
          <cell r="AK239">
            <v>0.98</v>
          </cell>
          <cell r="AL239">
            <v>3731</v>
          </cell>
        </row>
        <row r="240">
          <cell r="D240" t="str">
            <v>00030340</v>
          </cell>
          <cell r="E240" t="str">
            <v>石长征</v>
          </cell>
          <cell r="F240">
            <v>730</v>
          </cell>
          <cell r="G240">
            <v>317</v>
          </cell>
          <cell r="H240">
            <v>2102</v>
          </cell>
          <cell r="I240">
            <v>56</v>
          </cell>
          <cell r="J240">
            <v>20</v>
          </cell>
          <cell r="K240">
            <v>0</v>
          </cell>
          <cell r="L240">
            <v>526.17999999999995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3751.18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3751.98</v>
          </cell>
          <cell r="AJ240">
            <v>0.8</v>
          </cell>
          <cell r="AK240">
            <v>0.98</v>
          </cell>
          <cell r="AL240">
            <v>3751</v>
          </cell>
        </row>
        <row r="241">
          <cell r="D241" t="str">
            <v>00030390</v>
          </cell>
          <cell r="E241" t="str">
            <v>李 玲</v>
          </cell>
          <cell r="F241">
            <v>730</v>
          </cell>
          <cell r="G241">
            <v>317</v>
          </cell>
          <cell r="H241">
            <v>2102</v>
          </cell>
          <cell r="I241">
            <v>56</v>
          </cell>
          <cell r="J241">
            <v>20</v>
          </cell>
          <cell r="K241">
            <v>0</v>
          </cell>
          <cell r="L241">
            <v>26.18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3251.18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3251.98</v>
          </cell>
          <cell r="AJ241">
            <v>0.8</v>
          </cell>
          <cell r="AK241">
            <v>0.98</v>
          </cell>
          <cell r="AL241">
            <v>3251</v>
          </cell>
        </row>
        <row r="242">
          <cell r="D242" t="str">
            <v>00030451</v>
          </cell>
          <cell r="E242" t="str">
            <v>蔡新华</v>
          </cell>
          <cell r="F242">
            <v>730</v>
          </cell>
          <cell r="G242">
            <v>341</v>
          </cell>
          <cell r="H242">
            <v>2102</v>
          </cell>
          <cell r="I242">
            <v>56</v>
          </cell>
          <cell r="J242">
            <v>0</v>
          </cell>
          <cell r="K242">
            <v>0</v>
          </cell>
          <cell r="L242">
            <v>26.77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3255.77</v>
          </cell>
          <cell r="U242">
            <v>0</v>
          </cell>
          <cell r="V242">
            <v>0</v>
          </cell>
          <cell r="W242">
            <v>0</v>
          </cell>
          <cell r="X242">
            <v>10.71</v>
          </cell>
          <cell r="Y242">
            <v>0</v>
          </cell>
          <cell r="Z242">
            <v>3.65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793</v>
          </cell>
          <cell r="AF242">
            <v>0</v>
          </cell>
          <cell r="AG242">
            <v>0</v>
          </cell>
          <cell r="AH242">
            <v>807.36</v>
          </cell>
          <cell r="AI242">
            <v>2448.59</v>
          </cell>
          <cell r="AJ242">
            <v>0.18</v>
          </cell>
          <cell r="AK242">
            <v>0.59</v>
          </cell>
          <cell r="AL242">
            <v>2448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财务部报表_无人事号"/>
      <sheetName val="财务部报表_有人事号"/>
      <sheetName val="Temp学校工资单"/>
      <sheetName val="学校工资单"/>
      <sheetName val="银行报表"/>
      <sheetName val="扣税计算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A3" t="str">
            <v>00007282</v>
          </cell>
          <cell r="B3" t="str">
            <v>谢 华</v>
          </cell>
          <cell r="C3" t="str">
            <v>谢华</v>
          </cell>
          <cell r="D3" t="str">
            <v>副教授7</v>
          </cell>
          <cell r="E3" t="str">
            <v>副教授</v>
          </cell>
          <cell r="F3">
            <v>3018.53</v>
          </cell>
          <cell r="G3">
            <v>0</v>
          </cell>
          <cell r="H3">
            <v>1950</v>
          </cell>
          <cell r="K3">
            <v>1950</v>
          </cell>
          <cell r="L3">
            <v>4968.5300000000007</v>
          </cell>
          <cell r="M3">
            <v>44.06</v>
          </cell>
          <cell r="N3">
            <v>44.06</v>
          </cell>
          <cell r="O3" t="str">
            <v>3202160601011057572</v>
          </cell>
          <cell r="P3" t="str">
            <v>466210900010182929</v>
          </cell>
        </row>
        <row r="4">
          <cell r="A4" t="str">
            <v>00007283</v>
          </cell>
          <cell r="B4" t="str">
            <v>曾玉红</v>
          </cell>
          <cell r="C4" t="str">
            <v>曾玉红</v>
          </cell>
          <cell r="D4" t="str">
            <v>副教授7</v>
          </cell>
          <cell r="E4" t="str">
            <v>副教授</v>
          </cell>
          <cell r="F4">
            <v>3038.53</v>
          </cell>
          <cell r="G4">
            <v>0</v>
          </cell>
          <cell r="H4">
            <v>1950</v>
          </cell>
          <cell r="K4">
            <v>1950</v>
          </cell>
          <cell r="L4">
            <v>4988.5300000000007</v>
          </cell>
          <cell r="M4">
            <v>44.66</v>
          </cell>
          <cell r="N4">
            <v>44.66</v>
          </cell>
          <cell r="O4" t="str">
            <v>3202160601011057173</v>
          </cell>
          <cell r="P4" t="str">
            <v>466210901881100855</v>
          </cell>
          <cell r="S4" t="str">
            <v>青年学者</v>
          </cell>
        </row>
        <row r="5">
          <cell r="A5" t="str">
            <v>00007370</v>
          </cell>
          <cell r="B5" t="str">
            <v>冯晓黎</v>
          </cell>
          <cell r="C5" t="str">
            <v>冯晓黎</v>
          </cell>
          <cell r="D5" t="str">
            <v>实验师10</v>
          </cell>
          <cell r="E5" t="str">
            <v>实验师</v>
          </cell>
          <cell r="F5">
            <v>2574.29</v>
          </cell>
          <cell r="G5">
            <v>0</v>
          </cell>
          <cell r="H5">
            <v>1280</v>
          </cell>
          <cell r="K5">
            <v>1280</v>
          </cell>
          <cell r="L5">
            <v>3854.29</v>
          </cell>
          <cell r="M5">
            <v>10.63</v>
          </cell>
          <cell r="N5">
            <v>10.63</v>
          </cell>
          <cell r="O5" t="str">
            <v>3202160601011286762</v>
          </cell>
          <cell r="P5" t="str">
            <v>466210900010183771</v>
          </cell>
        </row>
        <row r="6">
          <cell r="A6" t="str">
            <v>00007375</v>
          </cell>
          <cell r="B6" t="str">
            <v>李曰辰</v>
          </cell>
          <cell r="C6" t="str">
            <v>李曰辰</v>
          </cell>
          <cell r="D6" t="str">
            <v>实验师9</v>
          </cell>
          <cell r="E6" t="str">
            <v>实验师</v>
          </cell>
          <cell r="F6">
            <v>2723.43</v>
          </cell>
          <cell r="G6">
            <v>0</v>
          </cell>
          <cell r="H6">
            <v>1430</v>
          </cell>
          <cell r="K6">
            <v>1430</v>
          </cell>
          <cell r="L6">
            <v>4153.43</v>
          </cell>
          <cell r="M6">
            <v>19.600000000000001</v>
          </cell>
          <cell r="N6">
            <v>19.600000000000001</v>
          </cell>
          <cell r="O6" t="str">
            <v>3202160601011291910</v>
          </cell>
          <cell r="P6" t="str">
            <v>466210901880238381</v>
          </cell>
        </row>
        <row r="7">
          <cell r="A7" t="str">
            <v>00007483</v>
          </cell>
          <cell r="B7" t="str">
            <v>王 康</v>
          </cell>
          <cell r="C7" t="str">
            <v>王康</v>
          </cell>
          <cell r="D7" t="str">
            <v>教授4</v>
          </cell>
          <cell r="E7" t="str">
            <v>教授</v>
          </cell>
          <cell r="F7">
            <v>3845.9700000000003</v>
          </cell>
          <cell r="G7">
            <v>10.38</v>
          </cell>
          <cell r="H7">
            <v>3350</v>
          </cell>
          <cell r="K7">
            <v>3350</v>
          </cell>
          <cell r="L7">
            <v>7195.97</v>
          </cell>
          <cell r="M7">
            <v>264.60000000000002</v>
          </cell>
          <cell r="N7">
            <v>254.22000000000003</v>
          </cell>
          <cell r="O7" t="str">
            <v>3202160601060159028</v>
          </cell>
          <cell r="P7" t="str">
            <v>466210900010200080</v>
          </cell>
        </row>
        <row r="8">
          <cell r="A8" t="str">
            <v>00007525</v>
          </cell>
          <cell r="B8" t="str">
            <v>邓金运</v>
          </cell>
          <cell r="C8" t="str">
            <v>邓金运</v>
          </cell>
          <cell r="D8" t="str">
            <v>副教授7</v>
          </cell>
          <cell r="E8" t="str">
            <v>副教授</v>
          </cell>
          <cell r="F8">
            <v>3037.27</v>
          </cell>
          <cell r="G8">
            <v>0</v>
          </cell>
          <cell r="H8">
            <v>1950</v>
          </cell>
          <cell r="K8">
            <v>1950</v>
          </cell>
          <cell r="L8">
            <v>4987.2700000000004</v>
          </cell>
          <cell r="M8">
            <v>44.62</v>
          </cell>
          <cell r="N8">
            <v>44.62</v>
          </cell>
          <cell r="O8" t="str">
            <v>3202160601060207331</v>
          </cell>
          <cell r="P8" t="str">
            <v>466210901880231662</v>
          </cell>
        </row>
        <row r="9">
          <cell r="A9" t="str">
            <v>00007612</v>
          </cell>
          <cell r="B9" t="str">
            <v>张晓春</v>
          </cell>
          <cell r="C9" t="str">
            <v>张晓春</v>
          </cell>
          <cell r="D9" t="str">
            <v>讲师10</v>
          </cell>
          <cell r="E9" t="str">
            <v>讲师</v>
          </cell>
          <cell r="F9">
            <v>2537.79</v>
          </cell>
          <cell r="G9">
            <v>0</v>
          </cell>
          <cell r="H9">
            <v>1280</v>
          </cell>
          <cell r="K9">
            <v>1280</v>
          </cell>
          <cell r="L9">
            <v>3817.79</v>
          </cell>
          <cell r="M9">
            <v>9.5299999999999994</v>
          </cell>
          <cell r="N9">
            <v>9.5299999999999994</v>
          </cell>
          <cell r="O9" t="str">
            <v>3202160601060752186</v>
          </cell>
          <cell r="P9" t="str">
            <v>466210901880230186</v>
          </cell>
        </row>
        <row r="10">
          <cell r="A10" t="str">
            <v>00007681</v>
          </cell>
          <cell r="B10" t="str">
            <v>刘 全</v>
          </cell>
          <cell r="C10" t="str">
            <v>刘全</v>
          </cell>
          <cell r="D10" t="str">
            <v>副教授7</v>
          </cell>
          <cell r="E10" t="str">
            <v>副教授</v>
          </cell>
          <cell r="F10">
            <v>0</v>
          </cell>
          <cell r="G10">
            <v>0</v>
          </cell>
          <cell r="H10">
            <v>1950</v>
          </cell>
          <cell r="K10">
            <v>1950</v>
          </cell>
          <cell r="L10">
            <v>1950</v>
          </cell>
          <cell r="M10">
            <v>0</v>
          </cell>
          <cell r="N10">
            <v>0</v>
          </cell>
          <cell r="O10" t="str">
            <v>3202160601060798845</v>
          </cell>
          <cell r="P10" t="str">
            <v>466210901880232138</v>
          </cell>
        </row>
        <row r="11">
          <cell r="A11" t="str">
            <v>00007720</v>
          </cell>
          <cell r="B11" t="str">
            <v>杨中华</v>
          </cell>
          <cell r="C11" t="str">
            <v>杨中华</v>
          </cell>
          <cell r="D11" t="str">
            <v>副教授7</v>
          </cell>
          <cell r="E11" t="str">
            <v>副教授</v>
          </cell>
          <cell r="F11">
            <v>3018.53</v>
          </cell>
          <cell r="G11">
            <v>0</v>
          </cell>
          <cell r="H11">
            <v>1950</v>
          </cell>
          <cell r="K11">
            <v>1950</v>
          </cell>
          <cell r="L11">
            <v>4968.5300000000007</v>
          </cell>
          <cell r="M11">
            <v>44.06</v>
          </cell>
          <cell r="N11">
            <v>44.06</v>
          </cell>
          <cell r="O11" t="str">
            <v>3202160601060876990</v>
          </cell>
          <cell r="P11" t="str">
            <v>466210901880238365</v>
          </cell>
        </row>
        <row r="12">
          <cell r="A12" t="str">
            <v>00007774</v>
          </cell>
          <cell r="B12" t="str">
            <v>钱忠东</v>
          </cell>
          <cell r="C12" t="str">
            <v>钱忠东</v>
          </cell>
          <cell r="D12" t="str">
            <v>教授4</v>
          </cell>
          <cell r="E12" t="str">
            <v>教授</v>
          </cell>
          <cell r="F12">
            <v>3867.67</v>
          </cell>
          <cell r="G12">
            <v>11.03</v>
          </cell>
          <cell r="H12">
            <v>5000</v>
          </cell>
          <cell r="I12" t="str">
            <v>珞青</v>
          </cell>
          <cell r="K12">
            <v>5000</v>
          </cell>
          <cell r="L12">
            <v>8867.67</v>
          </cell>
          <cell r="M12">
            <v>518.53</v>
          </cell>
          <cell r="N12">
            <v>507.5</v>
          </cell>
          <cell r="O12" t="str">
            <v>3202160601061344501</v>
          </cell>
          <cell r="P12" t="str">
            <v>466210901880257610</v>
          </cell>
          <cell r="S12" t="str">
            <v>珞珈青年</v>
          </cell>
        </row>
        <row r="13">
          <cell r="A13" t="str">
            <v>00007776</v>
          </cell>
          <cell r="B13" t="str">
            <v>曹志先</v>
          </cell>
          <cell r="C13" t="str">
            <v>曹志先</v>
          </cell>
          <cell r="D13" t="str">
            <v>教授2</v>
          </cell>
          <cell r="E13" t="str">
            <v>教授</v>
          </cell>
          <cell r="F13">
            <v>4891.46</v>
          </cell>
          <cell r="G13">
            <v>41.74</v>
          </cell>
          <cell r="H13">
            <v>4950</v>
          </cell>
          <cell r="K13">
            <v>4950</v>
          </cell>
          <cell r="L13">
            <v>9841.4599999999991</v>
          </cell>
          <cell r="M13">
            <v>713.29</v>
          </cell>
          <cell r="N13">
            <v>671.55</v>
          </cell>
          <cell r="O13" t="str">
            <v>3202160601061344474</v>
          </cell>
          <cell r="P13" t="str">
            <v>466210901880257297</v>
          </cell>
        </row>
        <row r="14">
          <cell r="A14">
            <v>7813</v>
          </cell>
          <cell r="B14" t="e">
            <v>#N/A</v>
          </cell>
          <cell r="C14" t="str">
            <v>陈益峰</v>
          </cell>
          <cell r="D14" t="str">
            <v>教授4</v>
          </cell>
          <cell r="E14" t="str">
            <v>教授</v>
          </cell>
          <cell r="F14" t="e">
            <v>#N/A</v>
          </cell>
          <cell r="G14" t="e">
            <v>#N/A</v>
          </cell>
          <cell r="H14">
            <v>3350</v>
          </cell>
          <cell r="K14">
            <v>3350</v>
          </cell>
          <cell r="L14" t="e">
            <v>#N/A</v>
          </cell>
          <cell r="M14" t="e">
            <v>#N/A</v>
          </cell>
          <cell r="N14" t="e">
            <v>#N/A</v>
          </cell>
          <cell r="O14" t="str">
            <v>3202160601061672151</v>
          </cell>
          <cell r="P14" t="str">
            <v>466210901880257793</v>
          </cell>
          <cell r="S14" t="str">
            <v>珞珈特聘</v>
          </cell>
        </row>
        <row r="15">
          <cell r="A15" t="str">
            <v>00007815</v>
          </cell>
          <cell r="B15" t="str">
            <v>曹生荣</v>
          </cell>
          <cell r="C15" t="str">
            <v>曹生荣</v>
          </cell>
          <cell r="D15" t="str">
            <v>高级实验师7</v>
          </cell>
          <cell r="E15" t="str">
            <v>高级实验师</v>
          </cell>
          <cell r="F15">
            <v>3018.53</v>
          </cell>
          <cell r="G15">
            <v>0</v>
          </cell>
          <cell r="H15">
            <v>1950</v>
          </cell>
          <cell r="K15">
            <v>1950</v>
          </cell>
          <cell r="L15">
            <v>4968.5300000000007</v>
          </cell>
          <cell r="M15">
            <v>44.06</v>
          </cell>
          <cell r="N15">
            <v>44.06</v>
          </cell>
          <cell r="O15" t="str">
            <v>3202160601061671923</v>
          </cell>
          <cell r="P15" t="str">
            <v>466210901880263181</v>
          </cell>
        </row>
        <row r="16">
          <cell r="A16" t="str">
            <v>00007816</v>
          </cell>
          <cell r="B16" t="str">
            <v>周 伟</v>
          </cell>
          <cell r="C16" t="str">
            <v>周伟</v>
          </cell>
          <cell r="D16" t="str">
            <v>教授4</v>
          </cell>
          <cell r="E16" t="str">
            <v>教授</v>
          </cell>
          <cell r="F16">
            <v>3867.67</v>
          </cell>
          <cell r="G16">
            <v>11.03</v>
          </cell>
          <cell r="H16">
            <v>5000</v>
          </cell>
          <cell r="I16" t="str">
            <v>珞青</v>
          </cell>
          <cell r="J16">
            <v>1200</v>
          </cell>
          <cell r="K16">
            <v>6200</v>
          </cell>
          <cell r="L16">
            <v>10067.67</v>
          </cell>
          <cell r="M16">
            <v>758.53</v>
          </cell>
          <cell r="N16">
            <v>747.5</v>
          </cell>
          <cell r="O16" t="str">
            <v>3202160601061671896</v>
          </cell>
          <cell r="P16" t="str">
            <v>466210901880258404</v>
          </cell>
          <cell r="Q16" t="str">
            <v>珞珈青年</v>
          </cell>
          <cell r="S16" t="str">
            <v>珞珈青年</v>
          </cell>
        </row>
        <row r="17">
          <cell r="A17" t="str">
            <v>00007817</v>
          </cell>
          <cell r="B17" t="str">
            <v>孙昭华</v>
          </cell>
          <cell r="C17" t="str">
            <v>孙昭华</v>
          </cell>
          <cell r="D17" t="str">
            <v>副教授7</v>
          </cell>
          <cell r="E17" t="str">
            <v>副教授</v>
          </cell>
          <cell r="F17">
            <v>3018.53</v>
          </cell>
          <cell r="G17">
            <v>0</v>
          </cell>
          <cell r="H17">
            <v>1950</v>
          </cell>
          <cell r="K17">
            <v>1950</v>
          </cell>
          <cell r="L17">
            <v>4968.5300000000007</v>
          </cell>
          <cell r="M17">
            <v>44.06</v>
          </cell>
          <cell r="N17">
            <v>44.06</v>
          </cell>
          <cell r="O17" t="str">
            <v>3202160601061673452</v>
          </cell>
          <cell r="P17" t="str">
            <v>466210901880262843</v>
          </cell>
        </row>
        <row r="18">
          <cell r="A18" t="str">
            <v>00007818</v>
          </cell>
          <cell r="B18" t="str">
            <v>李 奔</v>
          </cell>
          <cell r="C18" t="str">
            <v>李奔</v>
          </cell>
          <cell r="D18" t="str">
            <v>讲师10</v>
          </cell>
          <cell r="E18" t="str">
            <v>讲师</v>
          </cell>
          <cell r="F18">
            <v>2517.79</v>
          </cell>
          <cell r="G18">
            <v>0</v>
          </cell>
          <cell r="H18">
            <v>1280</v>
          </cell>
          <cell r="K18">
            <v>1280</v>
          </cell>
          <cell r="L18">
            <v>3797.79</v>
          </cell>
          <cell r="M18">
            <v>8.93</v>
          </cell>
          <cell r="N18">
            <v>8.93</v>
          </cell>
          <cell r="O18" t="str">
            <v>3202160601061673328</v>
          </cell>
          <cell r="P18" t="str">
            <v>466210901880262436</v>
          </cell>
        </row>
        <row r="19">
          <cell r="A19" t="str">
            <v>00007907</v>
          </cell>
          <cell r="B19" t="str">
            <v>施玉群</v>
          </cell>
          <cell r="C19" t="str">
            <v>施玉群</v>
          </cell>
          <cell r="D19" t="str">
            <v>副教授7</v>
          </cell>
          <cell r="E19" t="str">
            <v>副教授</v>
          </cell>
          <cell r="F19">
            <v>3297.0299999999997</v>
          </cell>
          <cell r="G19">
            <v>0</v>
          </cell>
          <cell r="H19">
            <v>1950</v>
          </cell>
          <cell r="K19">
            <v>1950</v>
          </cell>
          <cell r="L19">
            <v>5247.03</v>
          </cell>
          <cell r="M19">
            <v>69.7</v>
          </cell>
          <cell r="N19">
            <v>69.7</v>
          </cell>
          <cell r="O19" t="str">
            <v>3202160601064720622</v>
          </cell>
          <cell r="P19" t="str">
            <v>466210901880262754</v>
          </cell>
        </row>
        <row r="20">
          <cell r="A20" t="str">
            <v>00008034</v>
          </cell>
          <cell r="B20" t="str">
            <v>刘 攀</v>
          </cell>
          <cell r="C20" t="str">
            <v>刘攀</v>
          </cell>
          <cell r="D20" t="str">
            <v>副教授7</v>
          </cell>
          <cell r="E20" t="str">
            <v>副教授</v>
          </cell>
          <cell r="F20">
            <v>3018.53</v>
          </cell>
          <cell r="G20">
            <v>0</v>
          </cell>
          <cell r="H20">
            <v>1950</v>
          </cell>
          <cell r="K20">
            <v>1950</v>
          </cell>
          <cell r="L20">
            <v>4968.5300000000007</v>
          </cell>
          <cell r="M20">
            <v>44.06</v>
          </cell>
          <cell r="N20">
            <v>44.06</v>
          </cell>
          <cell r="O20" t="str">
            <v>3202160601062235197</v>
          </cell>
          <cell r="P20" t="str">
            <v>466210901880346567</v>
          </cell>
          <cell r="S20" t="str">
            <v>青年学者</v>
          </cell>
        </row>
        <row r="21">
          <cell r="A21" t="str">
            <v>00008035</v>
          </cell>
          <cell r="B21" t="str">
            <v>李小平</v>
          </cell>
          <cell r="C21" t="str">
            <v>李小平</v>
          </cell>
          <cell r="D21" t="str">
            <v>讲师9</v>
          </cell>
          <cell r="E21" t="str">
            <v>讲师</v>
          </cell>
          <cell r="F21">
            <v>2641.53</v>
          </cell>
          <cell r="G21">
            <v>0</v>
          </cell>
          <cell r="H21">
            <v>1430</v>
          </cell>
          <cell r="K21">
            <v>1430</v>
          </cell>
          <cell r="L21">
            <v>4071.53</v>
          </cell>
          <cell r="M21">
            <v>17.149999999999999</v>
          </cell>
          <cell r="N21">
            <v>17.149999999999999</v>
          </cell>
          <cell r="O21" t="str">
            <v>3202160601062235073</v>
          </cell>
          <cell r="P21" t="str">
            <v>466210901880346834</v>
          </cell>
        </row>
        <row r="22">
          <cell r="A22" t="str">
            <v>00008036</v>
          </cell>
          <cell r="B22" t="str">
            <v>金银龙</v>
          </cell>
          <cell r="C22" t="str">
            <v>金银龙</v>
          </cell>
          <cell r="D22" t="str">
            <v>讲师10</v>
          </cell>
          <cell r="E22" t="str">
            <v>讲师</v>
          </cell>
          <cell r="F22">
            <v>2517.79</v>
          </cell>
          <cell r="G22">
            <v>0</v>
          </cell>
          <cell r="H22">
            <v>1280</v>
          </cell>
          <cell r="K22">
            <v>1280</v>
          </cell>
          <cell r="L22">
            <v>3797.79</v>
          </cell>
          <cell r="M22">
            <v>8.93</v>
          </cell>
          <cell r="N22">
            <v>8.93</v>
          </cell>
          <cell r="O22" t="str">
            <v>3202160601062234969</v>
          </cell>
          <cell r="P22" t="str">
            <v>466210901880346346</v>
          </cell>
        </row>
        <row r="23">
          <cell r="A23" t="str">
            <v>00008088</v>
          </cell>
          <cell r="B23" t="str">
            <v>李 坤</v>
          </cell>
          <cell r="C23" t="str">
            <v>李坤</v>
          </cell>
          <cell r="D23" t="str">
            <v>九级</v>
          </cell>
          <cell r="E23" t="str">
            <v>九级</v>
          </cell>
          <cell r="F23">
            <v>2218.5700000000002</v>
          </cell>
          <cell r="G23">
            <v>0</v>
          </cell>
          <cell r="H23">
            <v>1200</v>
          </cell>
          <cell r="J23">
            <v>500</v>
          </cell>
          <cell r="K23">
            <v>1700</v>
          </cell>
          <cell r="L23">
            <v>3918.57</v>
          </cell>
          <cell r="M23">
            <v>12.56</v>
          </cell>
          <cell r="N23">
            <v>12.56</v>
          </cell>
          <cell r="O23" t="str">
            <v>3202160601062244352</v>
          </cell>
          <cell r="P23" t="str">
            <v>466210901880177684</v>
          </cell>
        </row>
        <row r="24">
          <cell r="A24" t="str">
            <v>00008094</v>
          </cell>
          <cell r="B24" t="str">
            <v>李典庆</v>
          </cell>
          <cell r="C24" t="str">
            <v>李典庆</v>
          </cell>
          <cell r="D24" t="str">
            <v>教授3</v>
          </cell>
          <cell r="E24" t="str">
            <v>教授</v>
          </cell>
          <cell r="F24">
            <v>4191.2700000000004</v>
          </cell>
          <cell r="G24">
            <v>20.74</v>
          </cell>
          <cell r="H24">
            <v>10000</v>
          </cell>
          <cell r="I24" t="str">
            <v>珞青</v>
          </cell>
          <cell r="K24">
            <v>10000</v>
          </cell>
          <cell r="L24">
            <v>14191.27</v>
          </cell>
          <cell r="M24">
            <v>1667.82</v>
          </cell>
          <cell r="N24">
            <v>1647.08</v>
          </cell>
          <cell r="O24" t="str">
            <v>3202160601062233819</v>
          </cell>
          <cell r="P24" t="str">
            <v>466210901880383705</v>
          </cell>
          <cell r="Q24" t="str">
            <v>珞珈青年5000每月</v>
          </cell>
          <cell r="S24" t="str">
            <v>珞珈青年</v>
          </cell>
        </row>
        <row r="25">
          <cell r="A25" t="str">
            <v>00008288</v>
          </cell>
          <cell r="B25" t="str">
            <v>陈俊涛</v>
          </cell>
          <cell r="C25" t="str">
            <v>陈俊涛</v>
          </cell>
          <cell r="D25" t="str">
            <v>讲师9</v>
          </cell>
          <cell r="E25" t="str">
            <v>讲师</v>
          </cell>
          <cell r="F25">
            <v>2641.53</v>
          </cell>
          <cell r="G25">
            <v>0</v>
          </cell>
          <cell r="H25">
            <v>1430</v>
          </cell>
          <cell r="K25">
            <v>1430</v>
          </cell>
          <cell r="L25">
            <v>4071.53</v>
          </cell>
          <cell r="M25">
            <v>17.149999999999999</v>
          </cell>
          <cell r="N25">
            <v>17.149999999999999</v>
          </cell>
          <cell r="O25" t="str">
            <v>3202160601062327433</v>
          </cell>
          <cell r="P25" t="str">
            <v>466210901880386038</v>
          </cell>
          <cell r="S25" t="str">
            <v>李典庆珞珈特聘</v>
          </cell>
        </row>
        <row r="26">
          <cell r="A26" t="str">
            <v>00008413</v>
          </cell>
          <cell r="B26" t="str">
            <v>管光华</v>
          </cell>
          <cell r="C26" t="str">
            <v>管光华</v>
          </cell>
          <cell r="D26" t="str">
            <v>副教授7</v>
          </cell>
          <cell r="E26" t="str">
            <v>副教授</v>
          </cell>
          <cell r="F26">
            <v>2998.79</v>
          </cell>
          <cell r="G26">
            <v>0</v>
          </cell>
          <cell r="H26">
            <v>1950</v>
          </cell>
          <cell r="K26">
            <v>1950</v>
          </cell>
          <cell r="L26">
            <v>4948.79</v>
          </cell>
          <cell r="M26">
            <v>43.46</v>
          </cell>
          <cell r="N26">
            <v>43.46</v>
          </cell>
          <cell r="O26" t="str">
            <v>3202160601063195983</v>
          </cell>
          <cell r="P26" t="str">
            <v>466210901880397781</v>
          </cell>
        </row>
        <row r="27">
          <cell r="A27" t="str">
            <v>00008414</v>
          </cell>
          <cell r="B27" t="str">
            <v>张 为</v>
          </cell>
          <cell r="C27" t="str">
            <v>张为</v>
          </cell>
          <cell r="D27" t="str">
            <v>副教授7</v>
          </cell>
          <cell r="E27" t="str">
            <v>副教授</v>
          </cell>
          <cell r="F27">
            <v>2998.79</v>
          </cell>
          <cell r="G27">
            <v>0</v>
          </cell>
          <cell r="H27">
            <v>1950</v>
          </cell>
          <cell r="K27">
            <v>1950</v>
          </cell>
          <cell r="L27">
            <v>4948.79</v>
          </cell>
          <cell r="M27">
            <v>43.46</v>
          </cell>
          <cell r="N27">
            <v>43.46</v>
          </cell>
          <cell r="O27" t="str">
            <v>3202160601063196087</v>
          </cell>
          <cell r="P27" t="str">
            <v>466210901880398168</v>
          </cell>
        </row>
        <row r="28">
          <cell r="A28" t="str">
            <v>00008415</v>
          </cell>
          <cell r="B28" t="str">
            <v>陈 明</v>
          </cell>
          <cell r="C28" t="str">
            <v>陈明</v>
          </cell>
          <cell r="D28" t="str">
            <v>副教授7</v>
          </cell>
          <cell r="E28" t="str">
            <v>副教授</v>
          </cell>
          <cell r="F28">
            <v>2998.79</v>
          </cell>
          <cell r="G28">
            <v>0</v>
          </cell>
          <cell r="H28">
            <v>1950</v>
          </cell>
          <cell r="K28">
            <v>1950</v>
          </cell>
          <cell r="L28">
            <v>4948.79</v>
          </cell>
          <cell r="M28">
            <v>43.46</v>
          </cell>
          <cell r="N28">
            <v>43.46</v>
          </cell>
          <cell r="O28" t="str">
            <v>3202160601063196114</v>
          </cell>
          <cell r="P28" t="str">
            <v>466210901880397242</v>
          </cell>
        </row>
        <row r="29">
          <cell r="A29" t="str">
            <v>00008416</v>
          </cell>
          <cell r="B29" t="str">
            <v>苏 凯</v>
          </cell>
          <cell r="C29" t="str">
            <v>苏凯</v>
          </cell>
          <cell r="D29" t="str">
            <v>副教授7</v>
          </cell>
          <cell r="E29" t="str">
            <v>副教授</v>
          </cell>
          <cell r="F29">
            <v>2998.79</v>
          </cell>
          <cell r="G29">
            <v>0</v>
          </cell>
          <cell r="H29">
            <v>1950</v>
          </cell>
          <cell r="K29">
            <v>1950</v>
          </cell>
          <cell r="L29">
            <v>4948.79</v>
          </cell>
          <cell r="M29">
            <v>43.46</v>
          </cell>
          <cell r="N29">
            <v>43.46</v>
          </cell>
          <cell r="O29" t="str">
            <v>3202160601063211966</v>
          </cell>
          <cell r="P29" t="str">
            <v>466210900010171099</v>
          </cell>
        </row>
        <row r="30">
          <cell r="A30" t="str">
            <v>00008417</v>
          </cell>
          <cell r="B30" t="str">
            <v>陈 华</v>
          </cell>
          <cell r="C30" t="str">
            <v>陈华</v>
          </cell>
          <cell r="D30" t="str">
            <v>副教授7</v>
          </cell>
          <cell r="E30" t="str">
            <v>副教授</v>
          </cell>
          <cell r="F30">
            <v>2998.79</v>
          </cell>
          <cell r="G30">
            <v>0</v>
          </cell>
          <cell r="H30">
            <v>1950</v>
          </cell>
          <cell r="K30">
            <v>1950</v>
          </cell>
          <cell r="L30">
            <v>4948.79</v>
          </cell>
          <cell r="M30">
            <v>43.46</v>
          </cell>
          <cell r="N30">
            <v>43.46</v>
          </cell>
          <cell r="O30" t="str">
            <v>3202160601063196362</v>
          </cell>
          <cell r="P30" t="str">
            <v>466210901880397404</v>
          </cell>
        </row>
        <row r="31">
          <cell r="A31" t="str">
            <v>00008498</v>
          </cell>
          <cell r="B31" t="str">
            <v>杨华山</v>
          </cell>
          <cell r="C31" t="str">
            <v>杨华山</v>
          </cell>
          <cell r="D31" t="str">
            <v>实验师9</v>
          </cell>
          <cell r="E31" t="str">
            <v>实验师</v>
          </cell>
          <cell r="F31">
            <v>2661.27</v>
          </cell>
          <cell r="G31">
            <v>0</v>
          </cell>
          <cell r="H31">
            <v>1430</v>
          </cell>
          <cell r="K31">
            <v>1430</v>
          </cell>
          <cell r="L31">
            <v>4091.27</v>
          </cell>
          <cell r="M31">
            <v>17.739999999999998</v>
          </cell>
          <cell r="N31">
            <v>17.739999999999998</v>
          </cell>
          <cell r="O31" t="str">
            <v>3202160601063197814</v>
          </cell>
          <cell r="P31" t="str">
            <v>466210901880397250</v>
          </cell>
        </row>
        <row r="32">
          <cell r="A32" t="str">
            <v>00008820</v>
          </cell>
          <cell r="B32" t="str">
            <v>董前进</v>
          </cell>
          <cell r="C32" t="str">
            <v>董前进</v>
          </cell>
          <cell r="D32" t="str">
            <v>副教授7</v>
          </cell>
          <cell r="E32" t="str">
            <v>副教授</v>
          </cell>
          <cell r="F32">
            <v>2980.05</v>
          </cell>
          <cell r="G32">
            <v>0</v>
          </cell>
          <cell r="H32">
            <v>1950</v>
          </cell>
          <cell r="K32">
            <v>1950</v>
          </cell>
          <cell r="L32">
            <v>4930.05</v>
          </cell>
          <cell r="M32">
            <v>42.9</v>
          </cell>
          <cell r="N32">
            <v>42.9</v>
          </cell>
          <cell r="O32" t="str">
            <v>3202160601063510703</v>
          </cell>
          <cell r="P32" t="str">
            <v>466210900010165986</v>
          </cell>
        </row>
        <row r="33">
          <cell r="A33" t="str">
            <v>00008898</v>
          </cell>
          <cell r="B33" t="str">
            <v>刘数华</v>
          </cell>
          <cell r="C33" t="str">
            <v>刘数华</v>
          </cell>
          <cell r="D33" t="str">
            <v>副教授7</v>
          </cell>
          <cell r="E33" t="str">
            <v>副教授</v>
          </cell>
          <cell r="F33">
            <v>3037.27</v>
          </cell>
          <cell r="G33">
            <v>0</v>
          </cell>
          <cell r="H33">
            <v>1950</v>
          </cell>
          <cell r="K33">
            <v>1950</v>
          </cell>
          <cell r="L33">
            <v>4987.2700000000004</v>
          </cell>
          <cell r="M33">
            <v>44.62</v>
          </cell>
          <cell r="N33">
            <v>44.62</v>
          </cell>
          <cell r="O33" t="str">
            <v>3202160601063676385</v>
          </cell>
          <cell r="P33" t="str">
            <v>466210901880511967</v>
          </cell>
        </row>
        <row r="34">
          <cell r="A34" t="str">
            <v>00008921</v>
          </cell>
          <cell r="B34" t="str">
            <v>徐 青</v>
          </cell>
          <cell r="C34" t="str">
            <v>徐青</v>
          </cell>
          <cell r="D34" t="str">
            <v>高级实验师6</v>
          </cell>
          <cell r="E34" t="str">
            <v>高级实验师</v>
          </cell>
          <cell r="F34">
            <v>3386.25</v>
          </cell>
          <cell r="G34">
            <v>0</v>
          </cell>
          <cell r="H34">
            <v>2100</v>
          </cell>
          <cell r="K34">
            <v>2100</v>
          </cell>
          <cell r="L34">
            <v>5486.25</v>
          </cell>
          <cell r="M34">
            <v>93.63</v>
          </cell>
          <cell r="N34">
            <v>93.63</v>
          </cell>
          <cell r="O34" t="str">
            <v>3202160601063754309</v>
          </cell>
          <cell r="P34" t="str">
            <v>467060501880281845</v>
          </cell>
        </row>
        <row r="35">
          <cell r="A35" t="str">
            <v>00008996</v>
          </cell>
          <cell r="B35" t="str">
            <v>徐国章</v>
          </cell>
          <cell r="C35" t="str">
            <v>徐国章</v>
          </cell>
          <cell r="D35" t="str">
            <v>九级</v>
          </cell>
          <cell r="E35" t="str">
            <v>九级</v>
          </cell>
          <cell r="F35">
            <v>2214.0700000000002</v>
          </cell>
          <cell r="G35">
            <v>0</v>
          </cell>
          <cell r="H35">
            <v>1450</v>
          </cell>
          <cell r="J35">
            <v>800</v>
          </cell>
          <cell r="K35">
            <v>2250</v>
          </cell>
          <cell r="L35">
            <v>4464.07</v>
          </cell>
          <cell r="M35">
            <v>28.92</v>
          </cell>
          <cell r="N35">
            <v>28.92</v>
          </cell>
          <cell r="O35" t="str">
            <v>3202160601063842635</v>
          </cell>
          <cell r="P35" t="str">
            <v>466210901880355655</v>
          </cell>
          <cell r="Q35" t="str">
            <v>辅导员津贴</v>
          </cell>
        </row>
        <row r="36">
          <cell r="A36" t="str">
            <v>00009234</v>
          </cell>
          <cell r="B36" t="str">
            <v>舒彩文</v>
          </cell>
          <cell r="C36" t="str">
            <v>舒彩文</v>
          </cell>
          <cell r="D36" t="str">
            <v>副教授7</v>
          </cell>
          <cell r="E36" t="str">
            <v>副教授</v>
          </cell>
          <cell r="F36">
            <v>2944.53</v>
          </cell>
          <cell r="G36">
            <v>0</v>
          </cell>
          <cell r="H36">
            <v>1950</v>
          </cell>
          <cell r="K36">
            <v>1950</v>
          </cell>
          <cell r="L36">
            <v>4894.5300000000007</v>
          </cell>
          <cell r="M36">
            <v>41.84</v>
          </cell>
          <cell r="N36">
            <v>41.84</v>
          </cell>
          <cell r="O36" t="str">
            <v>6222083202003483068</v>
          </cell>
          <cell r="P36" t="str">
            <v>466211001880536857</v>
          </cell>
        </row>
        <row r="37">
          <cell r="A37" t="str">
            <v>00009235</v>
          </cell>
          <cell r="B37" t="str">
            <v>李 丹</v>
          </cell>
          <cell r="C37" t="str">
            <v>李丹</v>
          </cell>
          <cell r="D37" t="str">
            <v>讲师9</v>
          </cell>
          <cell r="E37" t="str">
            <v>讲师</v>
          </cell>
          <cell r="F37">
            <v>2567.5300000000002</v>
          </cell>
          <cell r="G37">
            <v>0</v>
          </cell>
          <cell r="H37">
            <v>1430</v>
          </cell>
          <cell r="K37">
            <v>1430</v>
          </cell>
          <cell r="L37">
            <v>3997.53</v>
          </cell>
          <cell r="M37">
            <v>14.93</v>
          </cell>
          <cell r="N37">
            <v>14.93</v>
          </cell>
          <cell r="O37" t="str">
            <v>3202160601063515736</v>
          </cell>
          <cell r="P37" t="str">
            <v>466211001880536865</v>
          </cell>
        </row>
        <row r="38">
          <cell r="A38" t="str">
            <v>00009305</v>
          </cell>
          <cell r="B38" t="str">
            <v>顾文权</v>
          </cell>
          <cell r="C38" t="str">
            <v>顾文权</v>
          </cell>
          <cell r="D38" t="str">
            <v>讲师9</v>
          </cell>
          <cell r="E38" t="str">
            <v>讲师</v>
          </cell>
          <cell r="F38">
            <v>2567.5300000000002</v>
          </cell>
          <cell r="G38">
            <v>0</v>
          </cell>
          <cell r="H38">
            <v>1430</v>
          </cell>
          <cell r="K38">
            <v>1430</v>
          </cell>
          <cell r="L38">
            <v>3997.53</v>
          </cell>
          <cell r="M38">
            <v>14.93</v>
          </cell>
          <cell r="N38">
            <v>14.93</v>
          </cell>
          <cell r="O38" t="str">
            <v>3202160601064301762</v>
          </cell>
          <cell r="P38" t="str">
            <v>466211001880536938</v>
          </cell>
        </row>
        <row r="39">
          <cell r="A39" t="str">
            <v>00009334</v>
          </cell>
          <cell r="B39" t="str">
            <v>左志香</v>
          </cell>
          <cell r="C39" t="str">
            <v>左志香</v>
          </cell>
          <cell r="D39" t="str">
            <v>九级</v>
          </cell>
          <cell r="E39" t="str">
            <v>九级</v>
          </cell>
          <cell r="F39">
            <v>2206.4699999999998</v>
          </cell>
          <cell r="G39">
            <v>0</v>
          </cell>
          <cell r="H39">
            <v>1200</v>
          </cell>
          <cell r="J39">
            <v>600</v>
          </cell>
          <cell r="K39">
            <v>1800</v>
          </cell>
          <cell r="L39">
            <v>4006.47</v>
          </cell>
          <cell r="M39">
            <v>15.19</v>
          </cell>
          <cell r="N39">
            <v>15.19</v>
          </cell>
          <cell r="O39" t="str">
            <v>6222083202001779939</v>
          </cell>
          <cell r="P39" t="str">
            <v>466210901880875632</v>
          </cell>
          <cell r="Q39" t="str">
            <v>辅导员津贴</v>
          </cell>
        </row>
        <row r="40">
          <cell r="A40" t="str">
            <v>00009377</v>
          </cell>
          <cell r="B40" t="str">
            <v>史良胜</v>
          </cell>
          <cell r="C40" t="str">
            <v>史良胜</v>
          </cell>
          <cell r="D40" t="str">
            <v>副教授7</v>
          </cell>
          <cell r="E40" t="str">
            <v>副教授</v>
          </cell>
          <cell r="F40">
            <v>2962.29</v>
          </cell>
          <cell r="G40">
            <v>0</v>
          </cell>
          <cell r="H40">
            <v>5000</v>
          </cell>
          <cell r="I40" t="str">
            <v>珞青</v>
          </cell>
          <cell r="K40">
            <v>5000</v>
          </cell>
          <cell r="L40">
            <v>7962.29</v>
          </cell>
          <cell r="M40">
            <v>341.23</v>
          </cell>
          <cell r="N40">
            <v>341.23</v>
          </cell>
          <cell r="O40" t="str">
            <v>3202160601064342040</v>
          </cell>
          <cell r="P40" t="str">
            <v>466210901881101495</v>
          </cell>
          <cell r="S40" t="str">
            <v>珞珈青年</v>
          </cell>
        </row>
        <row r="41">
          <cell r="A41" t="str">
            <v>00009454</v>
          </cell>
          <cell r="B41" t="str">
            <v>夏军强</v>
          </cell>
          <cell r="C41" t="str">
            <v>夏军强</v>
          </cell>
          <cell r="D41" t="str">
            <v>教授3</v>
          </cell>
          <cell r="E41" t="str">
            <v>教授</v>
          </cell>
          <cell r="F41">
            <v>4168.57</v>
          </cell>
          <cell r="G41">
            <v>20.059999999999999</v>
          </cell>
          <cell r="H41">
            <v>7500</v>
          </cell>
          <cell r="I41" t="str">
            <v>楚特</v>
          </cell>
          <cell r="K41">
            <v>7500</v>
          </cell>
          <cell r="L41">
            <v>11668.57</v>
          </cell>
          <cell r="M41">
            <v>1078.71</v>
          </cell>
          <cell r="N41">
            <v>1058.6500000000001</v>
          </cell>
          <cell r="O41" t="str">
            <v>3202160601064510590</v>
          </cell>
          <cell r="P41" t="str">
            <v>466210901881093573</v>
          </cell>
          <cell r="Q41" t="str">
            <v>楚天特聘</v>
          </cell>
          <cell r="S41" t="str">
            <v>楚天特聘教授</v>
          </cell>
        </row>
        <row r="42">
          <cell r="A42" t="str">
            <v>00009460</v>
          </cell>
          <cell r="B42" t="str">
            <v>韩春玲</v>
          </cell>
          <cell r="C42" t="str">
            <v>韩春玲</v>
          </cell>
          <cell r="D42" t="str">
            <v>九级</v>
          </cell>
          <cell r="E42" t="str">
            <v>九级</v>
          </cell>
          <cell r="F42">
            <v>2034.07</v>
          </cell>
          <cell r="G42">
            <v>0</v>
          </cell>
          <cell r="H42">
            <v>1200</v>
          </cell>
          <cell r="J42">
            <v>500</v>
          </cell>
          <cell r="K42">
            <v>1700</v>
          </cell>
          <cell r="L42">
            <v>3734.0699999999997</v>
          </cell>
          <cell r="M42">
            <v>7.02</v>
          </cell>
          <cell r="N42">
            <v>7.02</v>
          </cell>
          <cell r="O42" t="str">
            <v>3202160601064510067</v>
          </cell>
          <cell r="P42" t="str">
            <v>466211001880496693</v>
          </cell>
        </row>
        <row r="43">
          <cell r="A43" t="str">
            <v>00009650</v>
          </cell>
          <cell r="B43" t="str">
            <v>卫晓婧</v>
          </cell>
          <cell r="C43" t="str">
            <v>卫晓婧</v>
          </cell>
          <cell r="D43" t="str">
            <v>助理编辑11</v>
          </cell>
          <cell r="E43" t="str">
            <v>助理编辑</v>
          </cell>
          <cell r="F43">
            <v>2053.42</v>
          </cell>
          <cell r="G43">
            <v>0</v>
          </cell>
          <cell r="H43">
            <v>1200</v>
          </cell>
          <cell r="K43">
            <v>1200</v>
          </cell>
          <cell r="L43">
            <v>3253.42</v>
          </cell>
          <cell r="M43">
            <v>0</v>
          </cell>
          <cell r="N43">
            <v>0</v>
          </cell>
          <cell r="O43" t="str">
            <v>3202160601064534684</v>
          </cell>
          <cell r="P43" t="str">
            <v>466211001880630357</v>
          </cell>
        </row>
        <row r="44">
          <cell r="A44" t="str">
            <v>00009654</v>
          </cell>
          <cell r="B44" t="str">
            <v>程勇刚</v>
          </cell>
          <cell r="C44" t="str">
            <v>程勇刚</v>
          </cell>
          <cell r="D44" t="str">
            <v>讲师9</v>
          </cell>
          <cell r="E44" t="str">
            <v>讲师</v>
          </cell>
          <cell r="F44">
            <v>2425.29</v>
          </cell>
          <cell r="G44">
            <v>0</v>
          </cell>
          <cell r="H44">
            <v>1600</v>
          </cell>
          <cell r="K44">
            <v>1600</v>
          </cell>
          <cell r="L44">
            <v>4025.29</v>
          </cell>
          <cell r="M44">
            <v>15.76</v>
          </cell>
          <cell r="N44">
            <v>15.76</v>
          </cell>
          <cell r="O44" t="str">
            <v>3202160601064713821</v>
          </cell>
          <cell r="P44" t="str">
            <v>466210901881086828</v>
          </cell>
        </row>
        <row r="45">
          <cell r="A45" t="str">
            <v>00009667</v>
          </cell>
          <cell r="B45" t="str">
            <v>刘德地</v>
          </cell>
          <cell r="C45" t="str">
            <v>刘德地</v>
          </cell>
          <cell r="D45" t="str">
            <v>副教授7</v>
          </cell>
          <cell r="E45" t="str">
            <v>副教授</v>
          </cell>
          <cell r="F45">
            <v>2998.79</v>
          </cell>
          <cell r="G45">
            <v>0</v>
          </cell>
          <cell r="H45">
            <v>1950</v>
          </cell>
          <cell r="K45">
            <v>1950</v>
          </cell>
          <cell r="L45">
            <v>4948.79</v>
          </cell>
          <cell r="M45">
            <v>43.46</v>
          </cell>
          <cell r="N45">
            <v>43.46</v>
          </cell>
          <cell r="O45" t="str">
            <v>6222023202023264756</v>
          </cell>
          <cell r="P45" t="str">
            <v>466210901881086550</v>
          </cell>
        </row>
        <row r="46">
          <cell r="A46" t="str">
            <v>00009671</v>
          </cell>
          <cell r="B46" t="str">
            <v>刘小然</v>
          </cell>
          <cell r="C46" t="str">
            <v>刘小然</v>
          </cell>
          <cell r="D46" t="str">
            <v>编辑10</v>
          </cell>
          <cell r="E46" t="str">
            <v>编辑</v>
          </cell>
          <cell r="F46">
            <v>2257.9</v>
          </cell>
          <cell r="G46">
            <v>0</v>
          </cell>
          <cell r="H46">
            <v>1280</v>
          </cell>
          <cell r="K46">
            <v>1280</v>
          </cell>
          <cell r="L46">
            <v>3537.9</v>
          </cell>
          <cell r="M46">
            <v>1.1399999999999999</v>
          </cell>
          <cell r="N46">
            <v>1.1399999999999999</v>
          </cell>
          <cell r="O46" t="str">
            <v>6222023202023264681</v>
          </cell>
          <cell r="P46" t="str">
            <v>467060701880302132</v>
          </cell>
        </row>
        <row r="47">
          <cell r="A47" t="str">
            <v>00009682</v>
          </cell>
          <cell r="B47" t="str">
            <v>王志远</v>
          </cell>
          <cell r="C47" t="str">
            <v>王志远</v>
          </cell>
          <cell r="D47" t="str">
            <v>助理实验师11</v>
          </cell>
          <cell r="E47" t="str">
            <v>助理实验师</v>
          </cell>
          <cell r="F47">
            <v>2020.4</v>
          </cell>
          <cell r="G47">
            <v>0</v>
          </cell>
          <cell r="H47">
            <v>1200</v>
          </cell>
          <cell r="K47">
            <v>1200</v>
          </cell>
          <cell r="L47">
            <v>3220.4</v>
          </cell>
          <cell r="M47">
            <v>0</v>
          </cell>
          <cell r="N47">
            <v>0</v>
          </cell>
          <cell r="O47" t="str">
            <v>6222023202023262818</v>
          </cell>
          <cell r="P47" t="str">
            <v>466210901880774569</v>
          </cell>
        </row>
        <row r="48">
          <cell r="A48" t="str">
            <v>00009683</v>
          </cell>
          <cell r="B48" t="str">
            <v>韩 琦</v>
          </cell>
          <cell r="C48" t="str">
            <v>韩琦</v>
          </cell>
          <cell r="D48" t="str">
            <v>九级</v>
          </cell>
          <cell r="E48" t="str">
            <v>九级</v>
          </cell>
          <cell r="F48">
            <v>2173.4499999999998</v>
          </cell>
          <cell r="G48">
            <v>0</v>
          </cell>
          <cell r="H48">
            <v>1200</v>
          </cell>
          <cell r="J48">
            <v>600</v>
          </cell>
          <cell r="K48">
            <v>1800</v>
          </cell>
          <cell r="L48">
            <v>3973.45</v>
          </cell>
          <cell r="M48">
            <v>14.2</v>
          </cell>
          <cell r="N48">
            <v>14.2</v>
          </cell>
          <cell r="O48" t="str">
            <v>6222023202030818149</v>
          </cell>
          <cell r="P48" t="str">
            <v>466210901880557215</v>
          </cell>
          <cell r="Q48" t="str">
            <v>辅导员津贴</v>
          </cell>
        </row>
        <row r="49">
          <cell r="A49" t="str">
            <v>00009739</v>
          </cell>
          <cell r="B49" t="str">
            <v>潘国艳</v>
          </cell>
          <cell r="C49" t="str">
            <v>潘国艳</v>
          </cell>
          <cell r="E49" t="str">
            <v>实验师</v>
          </cell>
          <cell r="F49">
            <v>2186.3200000000002</v>
          </cell>
          <cell r="G49">
            <v>0</v>
          </cell>
          <cell r="H49">
            <v>1600</v>
          </cell>
          <cell r="K49">
            <v>1600</v>
          </cell>
          <cell r="L49">
            <v>3786.32</v>
          </cell>
          <cell r="M49">
            <v>8.59</v>
          </cell>
          <cell r="N49">
            <v>8.59</v>
          </cell>
          <cell r="O49" t="str">
            <v>3202160601064691229</v>
          </cell>
          <cell r="P49" t="str">
            <v>466210901881087913</v>
          </cell>
        </row>
        <row r="50">
          <cell r="A50" t="str">
            <v>00009823</v>
          </cell>
          <cell r="B50" t="str">
            <v>严 鹏</v>
          </cell>
          <cell r="C50" t="str">
            <v>严鹏</v>
          </cell>
          <cell r="D50" t="str">
            <v>副研究员7</v>
          </cell>
          <cell r="E50" t="str">
            <v>副教授</v>
          </cell>
          <cell r="F50">
            <v>2998.79</v>
          </cell>
          <cell r="G50">
            <v>0</v>
          </cell>
          <cell r="H50">
            <v>1950</v>
          </cell>
          <cell r="K50">
            <v>1950</v>
          </cell>
          <cell r="L50">
            <v>4948.79</v>
          </cell>
          <cell r="M50">
            <v>43.46</v>
          </cell>
          <cell r="N50">
            <v>43.46</v>
          </cell>
          <cell r="O50" t="str">
            <v>3202160601064783837</v>
          </cell>
          <cell r="P50" t="str">
            <v>466210901881112179</v>
          </cell>
        </row>
        <row r="51">
          <cell r="A51" t="str">
            <v>00009934</v>
          </cell>
          <cell r="B51" t="str">
            <v>徐维生</v>
          </cell>
          <cell r="C51" t="str">
            <v>徐维生</v>
          </cell>
          <cell r="D51" t="str">
            <v>博士后8</v>
          </cell>
          <cell r="E51" t="str">
            <v>博士后</v>
          </cell>
          <cell r="F51">
            <v>3205</v>
          </cell>
          <cell r="G51">
            <v>0</v>
          </cell>
          <cell r="H51">
            <v>1600</v>
          </cell>
          <cell r="K51">
            <v>1600</v>
          </cell>
          <cell r="L51">
            <v>4805</v>
          </cell>
          <cell r="M51">
            <v>39.15</v>
          </cell>
          <cell r="N51">
            <v>39.15</v>
          </cell>
          <cell r="O51" t="str">
            <v>6222023202032991647</v>
          </cell>
        </row>
        <row r="52">
          <cell r="A52" t="str">
            <v>00009969</v>
          </cell>
          <cell r="B52" t="str">
            <v>刘 祎</v>
          </cell>
          <cell r="C52" t="str">
            <v>刘祎</v>
          </cell>
          <cell r="D52" t="str">
            <v>九级</v>
          </cell>
          <cell r="E52" t="str">
            <v>九级</v>
          </cell>
          <cell r="F52">
            <v>2180.4499999999998</v>
          </cell>
          <cell r="G52">
            <v>0</v>
          </cell>
          <cell r="H52">
            <v>1200</v>
          </cell>
          <cell r="J52">
            <v>600</v>
          </cell>
          <cell r="K52">
            <v>1800</v>
          </cell>
          <cell r="L52">
            <v>3980.45</v>
          </cell>
          <cell r="M52">
            <v>14.41</v>
          </cell>
          <cell r="N52">
            <v>14.41</v>
          </cell>
          <cell r="O52" t="str">
            <v>6222023202031219834</v>
          </cell>
          <cell r="Q52" t="str">
            <v>辅导员津贴</v>
          </cell>
        </row>
        <row r="53">
          <cell r="A53" t="str">
            <v>00010001</v>
          </cell>
          <cell r="B53" t="str">
            <v>王 博</v>
          </cell>
          <cell r="C53" t="str">
            <v>王博</v>
          </cell>
          <cell r="D53" t="str">
            <v>副教授6</v>
          </cell>
          <cell r="E53" t="str">
            <v>副教授</v>
          </cell>
          <cell r="F53">
            <v>3413.6099999999997</v>
          </cell>
          <cell r="G53">
            <v>0</v>
          </cell>
          <cell r="H53">
            <v>2100</v>
          </cell>
          <cell r="K53">
            <v>2100</v>
          </cell>
          <cell r="L53">
            <v>5513.61</v>
          </cell>
          <cell r="M53">
            <v>96.36</v>
          </cell>
          <cell r="N53">
            <v>96.36</v>
          </cell>
          <cell r="O53" t="str">
            <v>3202160601010415231</v>
          </cell>
          <cell r="P53" t="str">
            <v>466210901880262150</v>
          </cell>
        </row>
        <row r="54">
          <cell r="A54" t="str">
            <v>00010188</v>
          </cell>
          <cell r="B54" t="str">
            <v>段亚辉</v>
          </cell>
          <cell r="C54" t="str">
            <v>段亚辉</v>
          </cell>
          <cell r="D54" t="str">
            <v>教授3</v>
          </cell>
          <cell r="E54" t="str">
            <v>教授</v>
          </cell>
          <cell r="F54">
            <v>4635.26</v>
          </cell>
          <cell r="G54">
            <v>34.06</v>
          </cell>
          <cell r="H54">
            <v>4150</v>
          </cell>
          <cell r="K54">
            <v>4150</v>
          </cell>
          <cell r="L54">
            <v>8785.26</v>
          </cell>
          <cell r="M54">
            <v>502.05</v>
          </cell>
          <cell r="N54">
            <v>467.99</v>
          </cell>
          <cell r="O54" t="str">
            <v>3202160601010436344</v>
          </cell>
          <cell r="P54" t="str">
            <v>466210900010182775</v>
          </cell>
        </row>
        <row r="55">
          <cell r="A55" t="str">
            <v>00010189</v>
          </cell>
          <cell r="B55" t="str">
            <v>梁文泉</v>
          </cell>
          <cell r="C55" t="str">
            <v>梁文泉</v>
          </cell>
          <cell r="D55" t="str">
            <v>副教授5</v>
          </cell>
          <cell r="E55" t="str">
            <v>副教授</v>
          </cell>
          <cell r="F55">
            <v>3669.76</v>
          </cell>
          <cell r="G55">
            <v>5.09</v>
          </cell>
          <cell r="H55">
            <v>2300</v>
          </cell>
          <cell r="K55">
            <v>2300</v>
          </cell>
          <cell r="L55">
            <v>5969.76</v>
          </cell>
          <cell r="M55">
            <v>141.97999999999999</v>
          </cell>
          <cell r="N55">
            <v>136.88999999999999</v>
          </cell>
          <cell r="O55" t="str">
            <v>3202160601010632560</v>
          </cell>
          <cell r="P55" t="str">
            <v>466210901880210908</v>
          </cell>
        </row>
        <row r="56">
          <cell r="A56" t="str">
            <v>00010327</v>
          </cell>
          <cell r="B56" t="str">
            <v>宋元胜</v>
          </cell>
          <cell r="C56" t="str">
            <v>宋元胜</v>
          </cell>
          <cell r="D56" t="str">
            <v>副教授6</v>
          </cell>
          <cell r="E56" t="str">
            <v>副教授</v>
          </cell>
          <cell r="F56">
            <v>3464.91</v>
          </cell>
          <cell r="G56">
            <v>0</v>
          </cell>
          <cell r="H56">
            <v>2100</v>
          </cell>
          <cell r="K56">
            <v>2100</v>
          </cell>
          <cell r="L56">
            <v>5564.91</v>
          </cell>
          <cell r="M56">
            <v>101.49</v>
          </cell>
          <cell r="N56">
            <v>101.49</v>
          </cell>
          <cell r="O56" t="str">
            <v>3202160601010419486</v>
          </cell>
          <cell r="P56" t="str">
            <v>466210901880325438</v>
          </cell>
        </row>
        <row r="57">
          <cell r="A57" t="str">
            <v>00010471</v>
          </cell>
          <cell r="B57" t="str">
            <v>周龙才</v>
          </cell>
          <cell r="C57" t="str">
            <v>周龙才</v>
          </cell>
          <cell r="D57" t="str">
            <v>副教授6</v>
          </cell>
          <cell r="E57" t="str">
            <v>副教授</v>
          </cell>
          <cell r="F57">
            <v>3275.4700000000003</v>
          </cell>
          <cell r="G57">
            <v>0</v>
          </cell>
          <cell r="H57">
            <v>2100</v>
          </cell>
          <cell r="K57">
            <v>2100</v>
          </cell>
          <cell r="L57">
            <v>5375.47</v>
          </cell>
          <cell r="M57">
            <v>82.55</v>
          </cell>
          <cell r="N57">
            <v>82.55</v>
          </cell>
          <cell r="O57" t="str">
            <v>3202160601010639149</v>
          </cell>
          <cell r="P57" t="str">
            <v>466210900010182902</v>
          </cell>
        </row>
        <row r="58">
          <cell r="A58" t="str">
            <v>00010475</v>
          </cell>
          <cell r="B58" t="str">
            <v>刘德祥</v>
          </cell>
          <cell r="C58" t="str">
            <v>刘德祥</v>
          </cell>
          <cell r="D58" t="str">
            <v>副教授5</v>
          </cell>
          <cell r="E58" t="str">
            <v>副教授</v>
          </cell>
          <cell r="F58">
            <v>3640.16</v>
          </cell>
          <cell r="G58">
            <v>4.2</v>
          </cell>
          <cell r="H58">
            <v>2300</v>
          </cell>
          <cell r="K58">
            <v>2300</v>
          </cell>
          <cell r="L58">
            <v>5940.16</v>
          </cell>
          <cell r="M58">
            <v>139.02000000000001</v>
          </cell>
          <cell r="N58">
            <v>134.82000000000002</v>
          </cell>
          <cell r="O58" t="str">
            <v>3202160601010418983</v>
          </cell>
          <cell r="P58" t="str">
            <v>466210900010182864</v>
          </cell>
        </row>
        <row r="59">
          <cell r="A59" t="str">
            <v>00010483</v>
          </cell>
          <cell r="B59" t="str">
            <v>冯卫民</v>
          </cell>
          <cell r="C59" t="str">
            <v>冯卫民</v>
          </cell>
          <cell r="D59" t="str">
            <v>教授4</v>
          </cell>
          <cell r="E59" t="str">
            <v>教授</v>
          </cell>
          <cell r="F59">
            <v>4268.26</v>
          </cell>
          <cell r="G59">
            <v>23.05</v>
          </cell>
          <cell r="H59">
            <v>3350</v>
          </cell>
          <cell r="K59">
            <v>3350</v>
          </cell>
          <cell r="L59">
            <v>7618.26</v>
          </cell>
          <cell r="M59">
            <v>306.83</v>
          </cell>
          <cell r="N59">
            <v>283.77999999999997</v>
          </cell>
          <cell r="O59" t="str">
            <v>6222083202002213904</v>
          </cell>
        </row>
        <row r="60">
          <cell r="A60" t="str">
            <v>00010485</v>
          </cell>
          <cell r="B60" t="str">
            <v>韩向远</v>
          </cell>
          <cell r="C60" t="str">
            <v>韩向远</v>
          </cell>
          <cell r="D60" t="str">
            <v>实验师9</v>
          </cell>
          <cell r="E60" t="str">
            <v>实验师</v>
          </cell>
          <cell r="F60">
            <v>2901.03</v>
          </cell>
          <cell r="G60">
            <v>0</v>
          </cell>
          <cell r="H60">
            <v>1430</v>
          </cell>
          <cell r="K60">
            <v>1430</v>
          </cell>
          <cell r="L60">
            <v>4331.0300000000007</v>
          </cell>
          <cell r="M60">
            <v>24.93</v>
          </cell>
          <cell r="N60">
            <v>24.93</v>
          </cell>
          <cell r="O60" t="str">
            <v>6222083202003675697</v>
          </cell>
          <cell r="P60" t="str">
            <v>466210900010126395</v>
          </cell>
        </row>
        <row r="61">
          <cell r="A61" t="str">
            <v>00010682</v>
          </cell>
          <cell r="B61" t="str">
            <v>郭生练</v>
          </cell>
          <cell r="C61" t="str">
            <v>郭生练</v>
          </cell>
          <cell r="D61" t="str">
            <v>教授2</v>
          </cell>
          <cell r="E61" t="str">
            <v>教授</v>
          </cell>
          <cell r="F61">
            <v>0</v>
          </cell>
          <cell r="G61">
            <v>0</v>
          </cell>
          <cell r="H61">
            <v>4950</v>
          </cell>
          <cell r="K61">
            <v>4950</v>
          </cell>
          <cell r="L61">
            <v>4950</v>
          </cell>
          <cell r="M61">
            <v>43.5</v>
          </cell>
          <cell r="N61">
            <v>43.5</v>
          </cell>
          <cell r="O61" t="str">
            <v>3202160601010428517</v>
          </cell>
          <cell r="P61" t="str">
            <v>466210900010182538</v>
          </cell>
        </row>
        <row r="62">
          <cell r="A62" t="str">
            <v>00010871</v>
          </cell>
          <cell r="B62" t="str">
            <v>俞兆旺</v>
          </cell>
          <cell r="C62" t="str">
            <v>俞兆旺</v>
          </cell>
          <cell r="D62" t="str">
            <v>五级</v>
          </cell>
          <cell r="E62" t="str">
            <v>五级</v>
          </cell>
          <cell r="F62">
            <v>4369.71</v>
          </cell>
          <cell r="G62">
            <v>26.09</v>
          </cell>
          <cell r="H62">
            <v>3200</v>
          </cell>
          <cell r="J62">
            <v>1300</v>
          </cell>
          <cell r="K62">
            <v>4500</v>
          </cell>
          <cell r="L62">
            <v>8869.7099999999991</v>
          </cell>
          <cell r="M62">
            <v>518.94000000000005</v>
          </cell>
          <cell r="N62">
            <v>492.85000000000008</v>
          </cell>
          <cell r="O62" t="str">
            <v>3202160601010512561</v>
          </cell>
          <cell r="P62" t="str">
            <v>466210901880325896</v>
          </cell>
          <cell r="Q62" t="str">
            <v>辅导员津贴</v>
          </cell>
        </row>
        <row r="63">
          <cell r="A63" t="str">
            <v>00011180</v>
          </cell>
          <cell r="B63" t="str">
            <v>周创兵</v>
          </cell>
          <cell r="C63" t="str">
            <v>周创兵</v>
          </cell>
          <cell r="D63" t="str">
            <v>教授2</v>
          </cell>
          <cell r="E63" t="str">
            <v>教授</v>
          </cell>
          <cell r="F63">
            <v>4925.01</v>
          </cell>
          <cell r="G63">
            <v>42.75</v>
          </cell>
          <cell r="H63">
            <v>2000</v>
          </cell>
          <cell r="K63">
            <v>2000</v>
          </cell>
          <cell r="L63">
            <v>6925.01</v>
          </cell>
          <cell r="M63">
            <v>237.5</v>
          </cell>
          <cell r="N63">
            <v>194.75</v>
          </cell>
          <cell r="O63" t="str">
            <v>3202160601010440315</v>
          </cell>
          <cell r="P63" t="str">
            <v>466210900010184336</v>
          </cell>
          <cell r="Q63" t="str">
            <v>每月2000</v>
          </cell>
        </row>
        <row r="64">
          <cell r="A64" t="str">
            <v>00011186</v>
          </cell>
          <cell r="B64" t="str">
            <v>陆 丹</v>
          </cell>
          <cell r="C64" t="str">
            <v>陆丹</v>
          </cell>
          <cell r="D64" t="str">
            <v>实验师9</v>
          </cell>
          <cell r="E64" t="str">
            <v>实验师</v>
          </cell>
          <cell r="F64">
            <v>2786.57</v>
          </cell>
          <cell r="G64">
            <v>0</v>
          </cell>
          <cell r="H64">
            <v>1430</v>
          </cell>
          <cell r="K64">
            <v>1430</v>
          </cell>
          <cell r="L64">
            <v>4216.57</v>
          </cell>
          <cell r="M64">
            <v>21.5</v>
          </cell>
          <cell r="N64">
            <v>21.5</v>
          </cell>
          <cell r="O64" t="str">
            <v>3202160601010348390</v>
          </cell>
          <cell r="P64" t="str">
            <v>466210901880245957</v>
          </cell>
        </row>
        <row r="65">
          <cell r="A65" t="str">
            <v>00011202</v>
          </cell>
          <cell r="B65" t="str">
            <v>舒卫萍</v>
          </cell>
          <cell r="C65" t="str">
            <v>舒卫萍</v>
          </cell>
          <cell r="D65" t="str">
            <v>编辑9</v>
          </cell>
          <cell r="E65" t="str">
            <v>编辑</v>
          </cell>
          <cell r="F65">
            <v>2722.71</v>
          </cell>
          <cell r="G65">
            <v>0</v>
          </cell>
          <cell r="H65">
            <v>1430</v>
          </cell>
          <cell r="K65">
            <v>1430</v>
          </cell>
          <cell r="L65">
            <v>4152.71</v>
          </cell>
          <cell r="M65">
            <v>19.579999999999998</v>
          </cell>
          <cell r="N65">
            <v>19.579999999999998</v>
          </cell>
          <cell r="O65" t="str">
            <v>3202160601010617657</v>
          </cell>
          <cell r="P65" t="str">
            <v>466210900010206607</v>
          </cell>
        </row>
        <row r="66">
          <cell r="A66" t="str">
            <v>00011203</v>
          </cell>
          <cell r="B66" t="str">
            <v>胡承胜</v>
          </cell>
          <cell r="C66" t="str">
            <v>胡成胜</v>
          </cell>
          <cell r="D66" t="str">
            <v>副编审6</v>
          </cell>
          <cell r="E66" t="str">
            <v>副编审</v>
          </cell>
          <cell r="F66">
            <v>3319.87</v>
          </cell>
          <cell r="G66">
            <v>0</v>
          </cell>
          <cell r="H66">
            <v>2100</v>
          </cell>
          <cell r="J66">
            <v>700</v>
          </cell>
          <cell r="K66">
            <v>2800</v>
          </cell>
          <cell r="L66">
            <v>6119.87</v>
          </cell>
          <cell r="M66">
            <v>156.99</v>
          </cell>
          <cell r="N66">
            <v>156.99</v>
          </cell>
          <cell r="O66" t="str">
            <v>3202160601010754638</v>
          </cell>
          <cell r="P66" t="str">
            <v>466210900010206658</v>
          </cell>
        </row>
        <row r="67">
          <cell r="A67" t="str">
            <v>00011205</v>
          </cell>
          <cell r="B67" t="str">
            <v>徐占国</v>
          </cell>
          <cell r="C67" t="str">
            <v>徐占国</v>
          </cell>
          <cell r="D67" t="str">
            <v>副编审7</v>
          </cell>
          <cell r="E67" t="str">
            <v>副编审</v>
          </cell>
          <cell r="F67">
            <v>3140.87</v>
          </cell>
          <cell r="G67">
            <v>0</v>
          </cell>
          <cell r="H67">
            <v>1950</v>
          </cell>
          <cell r="K67">
            <v>1950</v>
          </cell>
          <cell r="L67">
            <v>5090.87</v>
          </cell>
          <cell r="M67">
            <v>54.09</v>
          </cell>
          <cell r="N67">
            <v>54.09</v>
          </cell>
          <cell r="O67" t="str">
            <v>3202160601010420875</v>
          </cell>
          <cell r="P67" t="str">
            <v>466210900010206623</v>
          </cell>
        </row>
        <row r="68">
          <cell r="A68" t="str">
            <v>00011207</v>
          </cell>
          <cell r="B68" t="str">
            <v>关良宝</v>
          </cell>
          <cell r="C68" t="str">
            <v>关良宝</v>
          </cell>
          <cell r="D68" t="str">
            <v>副编审6</v>
          </cell>
          <cell r="E68" t="str">
            <v>副编审</v>
          </cell>
          <cell r="F68">
            <v>3413.6099999999997</v>
          </cell>
          <cell r="G68">
            <v>0</v>
          </cell>
          <cell r="H68">
            <v>2100</v>
          </cell>
          <cell r="K68">
            <v>2100</v>
          </cell>
          <cell r="L68">
            <v>5513.61</v>
          </cell>
          <cell r="M68">
            <v>96.36</v>
          </cell>
          <cell r="N68">
            <v>96.36</v>
          </cell>
          <cell r="O68" t="str">
            <v>3202160601010421378</v>
          </cell>
          <cell r="P68" t="str">
            <v>466210900010206666</v>
          </cell>
        </row>
        <row r="69">
          <cell r="A69" t="str">
            <v>00011209</v>
          </cell>
          <cell r="B69" t="str">
            <v>孔祥元</v>
          </cell>
          <cell r="C69" t="str">
            <v>孔祥元</v>
          </cell>
          <cell r="D69" t="str">
            <v>副编审6</v>
          </cell>
          <cell r="E69" t="str">
            <v>副编审</v>
          </cell>
          <cell r="F69">
            <v>3413.6099999999997</v>
          </cell>
          <cell r="G69">
            <v>0</v>
          </cell>
          <cell r="H69">
            <v>2100</v>
          </cell>
          <cell r="K69">
            <v>2100</v>
          </cell>
          <cell r="L69">
            <v>5513.61</v>
          </cell>
          <cell r="M69">
            <v>96.36</v>
          </cell>
          <cell r="N69">
            <v>96.36</v>
          </cell>
          <cell r="O69" t="str">
            <v>3202160601010421254</v>
          </cell>
          <cell r="P69" t="str">
            <v>466210900010206631</v>
          </cell>
        </row>
        <row r="70">
          <cell r="A70" t="str">
            <v>00011269</v>
          </cell>
          <cell r="B70" t="str">
            <v>王长德</v>
          </cell>
          <cell r="C70" t="str">
            <v>王长德</v>
          </cell>
          <cell r="D70" t="str">
            <v>教授2</v>
          </cell>
          <cell r="E70" t="str">
            <v>教授</v>
          </cell>
          <cell r="F70">
            <v>5443.15</v>
          </cell>
          <cell r="G70">
            <v>0</v>
          </cell>
          <cell r="H70">
            <v>4950</v>
          </cell>
          <cell r="K70">
            <v>4950</v>
          </cell>
          <cell r="L70">
            <v>10393.15</v>
          </cell>
          <cell r="M70">
            <v>0</v>
          </cell>
          <cell r="N70">
            <v>0</v>
          </cell>
          <cell r="O70" t="str">
            <v>3202160601010416408</v>
          </cell>
          <cell r="P70" t="str">
            <v>466210900010182570</v>
          </cell>
          <cell r="Q70" t="str">
            <v>60岁以上专家</v>
          </cell>
          <cell r="S70" t="str">
            <v>60以上专家</v>
          </cell>
        </row>
        <row r="71">
          <cell r="A71" t="str">
            <v>00011432</v>
          </cell>
          <cell r="B71" t="str">
            <v>楚湘林</v>
          </cell>
          <cell r="C71" t="str">
            <v>楚相林</v>
          </cell>
          <cell r="D71" t="str">
            <v>实验师9</v>
          </cell>
          <cell r="E71" t="str">
            <v>实验师</v>
          </cell>
          <cell r="F71">
            <v>2976.01</v>
          </cell>
          <cell r="G71">
            <v>0</v>
          </cell>
          <cell r="H71">
            <v>1430</v>
          </cell>
          <cell r="K71">
            <v>1430</v>
          </cell>
          <cell r="L71">
            <v>4406.01</v>
          </cell>
          <cell r="M71">
            <v>27.18</v>
          </cell>
          <cell r="N71">
            <v>27.18</v>
          </cell>
          <cell r="O71" t="str">
            <v>3202160601010800986</v>
          </cell>
          <cell r="P71" t="str">
            <v>466210900010184239</v>
          </cell>
        </row>
        <row r="72">
          <cell r="A72" t="str">
            <v>00011433</v>
          </cell>
          <cell r="B72" t="str">
            <v>雷 艳</v>
          </cell>
          <cell r="C72" t="str">
            <v>雷艳</v>
          </cell>
          <cell r="D72" t="str">
            <v>副教授6</v>
          </cell>
          <cell r="E72" t="str">
            <v>副教授</v>
          </cell>
          <cell r="F72">
            <v>3459.26</v>
          </cell>
          <cell r="G72">
            <v>0</v>
          </cell>
          <cell r="H72">
            <v>2100</v>
          </cell>
          <cell r="K72">
            <v>2100</v>
          </cell>
          <cell r="L72">
            <v>5559.26</v>
          </cell>
          <cell r="M72">
            <v>100.93</v>
          </cell>
          <cell r="N72">
            <v>100.93</v>
          </cell>
          <cell r="O72" t="str">
            <v>3202160601010439201</v>
          </cell>
          <cell r="P72" t="str">
            <v>466210900010183992</v>
          </cell>
        </row>
        <row r="73">
          <cell r="A73" t="str">
            <v>00011434</v>
          </cell>
          <cell r="B73" t="str">
            <v>伍鹤皋</v>
          </cell>
          <cell r="C73" t="str">
            <v>伍鹤皋</v>
          </cell>
          <cell r="D73" t="str">
            <v>教授3</v>
          </cell>
          <cell r="E73" t="str">
            <v>教授</v>
          </cell>
          <cell r="F73">
            <v>4535.6099999999997</v>
          </cell>
          <cell r="G73">
            <v>31.07</v>
          </cell>
          <cell r="H73">
            <v>4150</v>
          </cell>
          <cell r="K73">
            <v>4150</v>
          </cell>
          <cell r="L73">
            <v>8685.61</v>
          </cell>
          <cell r="M73">
            <v>482.12</v>
          </cell>
          <cell r="N73">
            <v>451.05</v>
          </cell>
          <cell r="O73" t="str">
            <v>3202160601010438822</v>
          </cell>
          <cell r="P73" t="str">
            <v>466210900010183879</v>
          </cell>
        </row>
        <row r="74">
          <cell r="A74" t="str">
            <v>00011435</v>
          </cell>
          <cell r="B74" t="str">
            <v>杨建东</v>
          </cell>
          <cell r="C74" t="str">
            <v>杨建东</v>
          </cell>
          <cell r="D74" t="str">
            <v>教授2</v>
          </cell>
          <cell r="E74" t="str">
            <v>教授</v>
          </cell>
          <cell r="F74">
            <v>5061.16</v>
          </cell>
          <cell r="G74">
            <v>51.12</v>
          </cell>
          <cell r="H74">
            <v>4950</v>
          </cell>
          <cell r="K74">
            <v>4950</v>
          </cell>
          <cell r="L74">
            <v>10011.16</v>
          </cell>
          <cell r="M74">
            <v>747.23</v>
          </cell>
          <cell r="N74">
            <v>696.11</v>
          </cell>
          <cell r="O74" t="str">
            <v>3202160601010438946</v>
          </cell>
          <cell r="P74" t="str">
            <v>466210900010183828</v>
          </cell>
        </row>
        <row r="75">
          <cell r="A75" t="str">
            <v>00011436</v>
          </cell>
          <cell r="B75" t="str">
            <v>肖 明SD</v>
          </cell>
          <cell r="C75" t="str">
            <v>肖明</v>
          </cell>
          <cell r="D75" t="str">
            <v>教授2</v>
          </cell>
          <cell r="E75" t="str">
            <v>教授</v>
          </cell>
          <cell r="F75">
            <v>4991.1099999999997</v>
          </cell>
          <cell r="G75">
            <v>44.73</v>
          </cell>
          <cell r="H75">
            <v>4950</v>
          </cell>
          <cell r="K75">
            <v>4950</v>
          </cell>
          <cell r="L75">
            <v>9941.11</v>
          </cell>
          <cell r="M75">
            <v>733.22</v>
          </cell>
          <cell r="N75">
            <v>688.49</v>
          </cell>
          <cell r="O75" t="str">
            <v>3202160601010438795</v>
          </cell>
          <cell r="P75" t="str">
            <v>466210900010183852</v>
          </cell>
        </row>
        <row r="76">
          <cell r="A76" t="str">
            <v>00011437</v>
          </cell>
          <cell r="B76" t="str">
            <v>赖 旭</v>
          </cell>
          <cell r="C76" t="str">
            <v>赖旭</v>
          </cell>
          <cell r="D76" t="str">
            <v>教授4</v>
          </cell>
          <cell r="E76" t="str">
            <v>教授</v>
          </cell>
          <cell r="F76">
            <v>4112.3599999999997</v>
          </cell>
          <cell r="G76">
            <v>18.37</v>
          </cell>
          <cell r="H76">
            <v>3350</v>
          </cell>
          <cell r="K76">
            <v>3350</v>
          </cell>
          <cell r="L76">
            <v>7462.36</v>
          </cell>
          <cell r="M76">
            <v>291.24</v>
          </cell>
          <cell r="N76">
            <v>272.87</v>
          </cell>
          <cell r="O76" t="str">
            <v>3202160601010439325</v>
          </cell>
          <cell r="P76" t="str">
            <v>466210900010183976</v>
          </cell>
        </row>
        <row r="77">
          <cell r="A77" t="str">
            <v>00011438</v>
          </cell>
          <cell r="B77" t="str">
            <v>程永光</v>
          </cell>
          <cell r="C77" t="str">
            <v>程永光</v>
          </cell>
          <cell r="D77" t="str">
            <v>教授4</v>
          </cell>
          <cell r="E77" t="str">
            <v>教授</v>
          </cell>
          <cell r="F77">
            <v>3934.7700000000004</v>
          </cell>
          <cell r="G77">
            <v>13.04</v>
          </cell>
          <cell r="H77">
            <v>3350</v>
          </cell>
          <cell r="K77">
            <v>3350</v>
          </cell>
          <cell r="L77">
            <v>7284.77</v>
          </cell>
          <cell r="M77">
            <v>273.48</v>
          </cell>
          <cell r="N77">
            <v>260.44</v>
          </cell>
          <cell r="O77" t="str">
            <v>3202160601010439449</v>
          </cell>
          <cell r="P77" t="str">
            <v>466210901880432218</v>
          </cell>
        </row>
        <row r="78">
          <cell r="A78" t="str">
            <v>00011441</v>
          </cell>
          <cell r="B78" t="str">
            <v>李进平</v>
          </cell>
          <cell r="C78" t="str">
            <v>李进平</v>
          </cell>
          <cell r="D78" t="str">
            <v>副教授7</v>
          </cell>
          <cell r="E78" t="str">
            <v>副教授</v>
          </cell>
          <cell r="F78">
            <v>3057.99</v>
          </cell>
          <cell r="G78">
            <v>0</v>
          </cell>
          <cell r="H78">
            <v>1950</v>
          </cell>
          <cell r="K78">
            <v>1950</v>
          </cell>
          <cell r="L78">
            <v>5007.99</v>
          </cell>
          <cell r="M78">
            <v>45.8</v>
          </cell>
          <cell r="N78">
            <v>45.8</v>
          </cell>
          <cell r="O78" t="str">
            <v>3202160601010861874</v>
          </cell>
          <cell r="P78" t="str">
            <v>466210901880236036</v>
          </cell>
        </row>
        <row r="79">
          <cell r="A79" t="str">
            <v>00011442</v>
          </cell>
          <cell r="B79" t="str">
            <v>袁汉芳</v>
          </cell>
          <cell r="C79" t="str">
            <v>袁汉芳</v>
          </cell>
          <cell r="D79" t="str">
            <v>未聘技师3</v>
          </cell>
          <cell r="E79" t="str">
            <v>未聘技师</v>
          </cell>
          <cell r="F79">
            <v>2455.3000000000002</v>
          </cell>
          <cell r="G79">
            <v>0</v>
          </cell>
          <cell r="H79">
            <v>1050</v>
          </cell>
          <cell r="K79">
            <v>1050</v>
          </cell>
          <cell r="L79">
            <v>3505.3</v>
          </cell>
          <cell r="M79">
            <v>0.16</v>
          </cell>
          <cell r="N79">
            <v>0.16</v>
          </cell>
          <cell r="O79" t="str">
            <v>3202160601010439174</v>
          </cell>
          <cell r="P79" t="str">
            <v>466210900010126514</v>
          </cell>
        </row>
        <row r="80">
          <cell r="A80" t="str">
            <v>00011443</v>
          </cell>
          <cell r="B80" t="str">
            <v>曾令刚</v>
          </cell>
          <cell r="C80" t="str">
            <v>曾令刚</v>
          </cell>
          <cell r="D80" t="str">
            <v>实验师8</v>
          </cell>
          <cell r="E80" t="str">
            <v>实验师</v>
          </cell>
          <cell r="F80">
            <v>3070.16</v>
          </cell>
          <cell r="G80">
            <v>0</v>
          </cell>
          <cell r="H80">
            <v>1580</v>
          </cell>
          <cell r="K80">
            <v>1580</v>
          </cell>
          <cell r="L80">
            <v>4650.16</v>
          </cell>
          <cell r="M80">
            <v>34.5</v>
          </cell>
          <cell r="N80">
            <v>34.5</v>
          </cell>
          <cell r="O80" t="str">
            <v>3202160601010498781</v>
          </cell>
          <cell r="P80" t="str">
            <v>466210901880396165</v>
          </cell>
        </row>
        <row r="81">
          <cell r="A81" t="str">
            <v>00011451</v>
          </cell>
          <cell r="B81" t="str">
            <v>熊 英</v>
          </cell>
          <cell r="C81" t="str">
            <v>熊英</v>
          </cell>
          <cell r="D81" t="str">
            <v>七级</v>
          </cell>
          <cell r="E81" t="str">
            <v>七级</v>
          </cell>
          <cell r="F81">
            <v>2920.45</v>
          </cell>
          <cell r="G81">
            <v>0</v>
          </cell>
          <cell r="H81">
            <v>1430</v>
          </cell>
          <cell r="J81">
            <v>600</v>
          </cell>
          <cell r="K81">
            <v>2030</v>
          </cell>
          <cell r="L81">
            <v>4950.45</v>
          </cell>
          <cell r="M81">
            <v>43.51</v>
          </cell>
          <cell r="N81">
            <v>43.51</v>
          </cell>
          <cell r="O81" t="str">
            <v>3202160601010326375</v>
          </cell>
          <cell r="P81" t="str">
            <v>466210901880410915</v>
          </cell>
          <cell r="Q81" t="str">
            <v>七级六年</v>
          </cell>
        </row>
        <row r="82">
          <cell r="A82" t="str">
            <v>00011452</v>
          </cell>
          <cell r="B82" t="str">
            <v>刘 峰</v>
          </cell>
          <cell r="C82" t="str">
            <v>刘锋</v>
          </cell>
          <cell r="D82" t="str">
            <v>六级</v>
          </cell>
          <cell r="E82" t="str">
            <v>六级</v>
          </cell>
          <cell r="F82">
            <v>3295.51</v>
          </cell>
          <cell r="G82">
            <v>0</v>
          </cell>
          <cell r="H82">
            <v>2100</v>
          </cell>
          <cell r="J82">
            <v>900</v>
          </cell>
          <cell r="K82">
            <v>3000</v>
          </cell>
          <cell r="L82">
            <v>6295.51</v>
          </cell>
          <cell r="M82">
            <v>174.55</v>
          </cell>
          <cell r="N82">
            <v>174.55</v>
          </cell>
          <cell r="O82" t="str">
            <v>3202160601010430134</v>
          </cell>
          <cell r="P82" t="str">
            <v>466210901880225654</v>
          </cell>
        </row>
        <row r="83">
          <cell r="A83" t="str">
            <v>00011453</v>
          </cell>
          <cell r="B83" t="str">
            <v>梅俊祥</v>
          </cell>
          <cell r="C83" t="str">
            <v>梅俊祥</v>
          </cell>
          <cell r="D83" t="str">
            <v>六级</v>
          </cell>
          <cell r="E83" t="str">
            <v>六级</v>
          </cell>
          <cell r="F83">
            <v>3561.6099999999997</v>
          </cell>
          <cell r="G83">
            <v>1.85</v>
          </cell>
          <cell r="H83">
            <v>1950</v>
          </cell>
          <cell r="J83">
            <v>700</v>
          </cell>
          <cell r="K83">
            <v>2650</v>
          </cell>
          <cell r="L83">
            <v>6211.61</v>
          </cell>
          <cell r="M83">
            <v>166.16</v>
          </cell>
          <cell r="N83">
            <v>164.31</v>
          </cell>
          <cell r="O83" t="str">
            <v>3202160601010430010</v>
          </cell>
          <cell r="P83" t="str">
            <v>466210901880180758</v>
          </cell>
        </row>
        <row r="84">
          <cell r="A84" t="str">
            <v>00011458</v>
          </cell>
          <cell r="B84" t="str">
            <v>曹克桥</v>
          </cell>
          <cell r="C84" t="str">
            <v>曹克桥</v>
          </cell>
          <cell r="D84" t="str">
            <v>技师2</v>
          </cell>
          <cell r="E84" t="str">
            <v>技师</v>
          </cell>
          <cell r="F84">
            <v>2814.03</v>
          </cell>
          <cell r="G84">
            <v>0</v>
          </cell>
          <cell r="H84">
            <v>1250</v>
          </cell>
          <cell r="K84">
            <v>1250</v>
          </cell>
          <cell r="L84">
            <v>4064.03</v>
          </cell>
          <cell r="M84">
            <v>16.920000000000002</v>
          </cell>
          <cell r="N84">
            <v>16.920000000000002</v>
          </cell>
          <cell r="O84" t="str">
            <v>3202160601010380275</v>
          </cell>
          <cell r="P84" t="str">
            <v>466210900010184611</v>
          </cell>
        </row>
        <row r="85">
          <cell r="A85" t="str">
            <v>00011459</v>
          </cell>
          <cell r="B85" t="str">
            <v>刘永和</v>
          </cell>
          <cell r="C85" t="str">
            <v>刘永和</v>
          </cell>
          <cell r="D85" t="str">
            <v>实验师8</v>
          </cell>
          <cell r="E85" t="str">
            <v>实验师</v>
          </cell>
          <cell r="F85">
            <v>2968.53</v>
          </cell>
          <cell r="G85">
            <v>0</v>
          </cell>
          <cell r="H85">
            <v>1580</v>
          </cell>
          <cell r="K85">
            <v>1580</v>
          </cell>
          <cell r="L85">
            <v>4548.5300000000007</v>
          </cell>
          <cell r="M85">
            <v>31.46</v>
          </cell>
          <cell r="N85">
            <v>31.46</v>
          </cell>
          <cell r="O85" t="str">
            <v>3202160601010381053</v>
          </cell>
          <cell r="P85" t="str">
            <v>466210900010184328</v>
          </cell>
        </row>
        <row r="86">
          <cell r="A86" t="str">
            <v>00011463</v>
          </cell>
          <cell r="B86" t="str">
            <v>陈天祥</v>
          </cell>
          <cell r="C86" t="str">
            <v>陈天祥</v>
          </cell>
          <cell r="D86" t="str">
            <v>高级工3</v>
          </cell>
          <cell r="E86" t="str">
            <v>高级工</v>
          </cell>
          <cell r="F86">
            <v>2645.46</v>
          </cell>
          <cell r="G86">
            <v>0</v>
          </cell>
          <cell r="H86">
            <v>1050</v>
          </cell>
          <cell r="K86">
            <v>1050</v>
          </cell>
          <cell r="L86">
            <v>3695.46</v>
          </cell>
          <cell r="M86">
            <v>5.86</v>
          </cell>
          <cell r="N86">
            <v>5.86</v>
          </cell>
          <cell r="O86" t="str">
            <v>3202160601011269780</v>
          </cell>
          <cell r="P86" t="str">
            <v>466210900010184603</v>
          </cell>
        </row>
        <row r="87">
          <cell r="A87" t="str">
            <v>00011464</v>
          </cell>
          <cell r="B87" t="str">
            <v>魏国强</v>
          </cell>
          <cell r="C87" t="str">
            <v>魏国强</v>
          </cell>
          <cell r="D87" t="str">
            <v>实验师8</v>
          </cell>
          <cell r="E87" t="str">
            <v>实验师</v>
          </cell>
          <cell r="F87">
            <v>3099.76</v>
          </cell>
          <cell r="G87">
            <v>0</v>
          </cell>
          <cell r="H87">
            <v>1580</v>
          </cell>
          <cell r="K87">
            <v>1580</v>
          </cell>
          <cell r="L87">
            <v>4679.76</v>
          </cell>
          <cell r="M87">
            <v>35.39</v>
          </cell>
          <cell r="N87">
            <v>35.39</v>
          </cell>
          <cell r="O87" t="str">
            <v>3202160601010378410</v>
          </cell>
          <cell r="P87" t="str">
            <v>466210900010184751</v>
          </cell>
        </row>
        <row r="88">
          <cell r="A88" t="str">
            <v>00011466</v>
          </cell>
          <cell r="B88" t="str">
            <v>刘士和</v>
          </cell>
          <cell r="C88" t="str">
            <v>刘士和</v>
          </cell>
          <cell r="D88" t="str">
            <v>教授2</v>
          </cell>
          <cell r="E88" t="str">
            <v>教授</v>
          </cell>
          <cell r="F88">
            <v>5024.66</v>
          </cell>
          <cell r="G88">
            <v>47.47</v>
          </cell>
          <cell r="H88">
            <v>4950</v>
          </cell>
          <cell r="K88">
            <v>4950</v>
          </cell>
          <cell r="L88">
            <v>9974.66</v>
          </cell>
          <cell r="M88">
            <v>739.93</v>
          </cell>
          <cell r="N88">
            <v>692.45999999999992</v>
          </cell>
          <cell r="O88" t="str">
            <v>3202160601060288430</v>
          </cell>
          <cell r="P88" t="str">
            <v>466210901880323400</v>
          </cell>
        </row>
        <row r="89">
          <cell r="A89" t="str">
            <v>00011467</v>
          </cell>
          <cell r="B89" t="str">
            <v>陆 晶</v>
          </cell>
          <cell r="C89" t="str">
            <v>陆晶</v>
          </cell>
          <cell r="D89" t="str">
            <v>副教授6</v>
          </cell>
          <cell r="E89" t="str">
            <v>副教授</v>
          </cell>
          <cell r="F89">
            <v>3273.77</v>
          </cell>
          <cell r="G89">
            <v>0</v>
          </cell>
          <cell r="H89">
            <v>2100</v>
          </cell>
          <cell r="K89">
            <v>2100</v>
          </cell>
          <cell r="L89">
            <v>5373.77</v>
          </cell>
          <cell r="M89">
            <v>82.38</v>
          </cell>
          <cell r="N89">
            <v>82.38</v>
          </cell>
          <cell r="O89" t="str">
            <v>3202160601010635940</v>
          </cell>
          <cell r="P89" t="str">
            <v>466210900010183496</v>
          </cell>
        </row>
        <row r="90">
          <cell r="A90" t="str">
            <v>00011469</v>
          </cell>
          <cell r="B90" t="str">
            <v>朱铁容</v>
          </cell>
          <cell r="C90" t="str">
            <v>朱铁容</v>
          </cell>
          <cell r="D90" t="str">
            <v>实验师10</v>
          </cell>
          <cell r="E90" t="str">
            <v>实验师</v>
          </cell>
          <cell r="F90">
            <v>2828.85</v>
          </cell>
          <cell r="G90">
            <v>0</v>
          </cell>
          <cell r="H90">
            <v>1280</v>
          </cell>
          <cell r="K90">
            <v>1280</v>
          </cell>
          <cell r="L90">
            <v>4108.8500000000004</v>
          </cell>
          <cell r="M90">
            <v>18.27</v>
          </cell>
          <cell r="N90">
            <v>18.27</v>
          </cell>
          <cell r="O90" t="str">
            <v>3202160601010742254</v>
          </cell>
          <cell r="P90" t="str">
            <v>466210900010184832</v>
          </cell>
        </row>
        <row r="91">
          <cell r="A91" t="str">
            <v>00011475</v>
          </cell>
          <cell r="B91" t="str">
            <v>苏 欣</v>
          </cell>
          <cell r="C91" t="str">
            <v>苏欣</v>
          </cell>
          <cell r="D91" t="str">
            <v>副教授5</v>
          </cell>
          <cell r="E91" t="str">
            <v>副教授</v>
          </cell>
          <cell r="F91">
            <v>3758.5600000000004</v>
          </cell>
          <cell r="G91">
            <v>7.76</v>
          </cell>
          <cell r="H91">
            <v>2300</v>
          </cell>
          <cell r="K91">
            <v>2300</v>
          </cell>
          <cell r="L91">
            <v>6058.56</v>
          </cell>
          <cell r="M91">
            <v>150.86000000000001</v>
          </cell>
          <cell r="N91">
            <v>143.10000000000002</v>
          </cell>
          <cell r="O91" t="str">
            <v>3202160601010443668</v>
          </cell>
          <cell r="P91" t="str">
            <v>466210900010184255</v>
          </cell>
        </row>
        <row r="92">
          <cell r="A92" t="str">
            <v>00011476</v>
          </cell>
          <cell r="B92" t="str">
            <v>刘玉新</v>
          </cell>
          <cell r="C92" t="str">
            <v>刘玉新</v>
          </cell>
          <cell r="D92" t="str">
            <v>实验师8</v>
          </cell>
          <cell r="E92" t="str">
            <v>实验师</v>
          </cell>
          <cell r="F92">
            <v>2899.47</v>
          </cell>
          <cell r="G92">
            <v>0</v>
          </cell>
          <cell r="H92">
            <v>1580</v>
          </cell>
          <cell r="K92">
            <v>1580</v>
          </cell>
          <cell r="L92">
            <v>4479.4699999999993</v>
          </cell>
          <cell r="M92">
            <v>29.38</v>
          </cell>
          <cell r="N92">
            <v>29.38</v>
          </cell>
          <cell r="O92" t="str">
            <v>3202160601010443792</v>
          </cell>
          <cell r="P92" t="str">
            <v>466210900010184697</v>
          </cell>
        </row>
        <row r="93">
          <cell r="A93" t="str">
            <v>00011477</v>
          </cell>
          <cell r="B93" t="str">
            <v>邓念武</v>
          </cell>
          <cell r="C93" t="str">
            <v>邓念武</v>
          </cell>
          <cell r="D93" t="str">
            <v>副教授6</v>
          </cell>
          <cell r="E93" t="str">
            <v>副教授</v>
          </cell>
          <cell r="F93">
            <v>3342.5699999999997</v>
          </cell>
          <cell r="G93">
            <v>0</v>
          </cell>
          <cell r="H93">
            <v>2100</v>
          </cell>
          <cell r="K93">
            <v>2100</v>
          </cell>
          <cell r="L93">
            <v>5442.57</v>
          </cell>
          <cell r="M93">
            <v>89.26</v>
          </cell>
          <cell r="N93">
            <v>89.26</v>
          </cell>
          <cell r="O93" t="str">
            <v>3202160601010443943</v>
          </cell>
          <cell r="P93" t="str">
            <v>466210901880328933</v>
          </cell>
        </row>
        <row r="94">
          <cell r="A94" t="str">
            <v>00011478</v>
          </cell>
          <cell r="B94" t="str">
            <v>徐 晖</v>
          </cell>
          <cell r="C94" t="str">
            <v>徐晖</v>
          </cell>
          <cell r="D94" t="str">
            <v>副教授5</v>
          </cell>
          <cell r="E94" t="str">
            <v>副教授</v>
          </cell>
          <cell r="F94">
            <v>3758.5600000000004</v>
          </cell>
          <cell r="G94">
            <v>7.76</v>
          </cell>
          <cell r="H94">
            <v>2300</v>
          </cell>
          <cell r="K94">
            <v>2300</v>
          </cell>
          <cell r="L94">
            <v>6058.56</v>
          </cell>
          <cell r="M94">
            <v>150.86000000000001</v>
          </cell>
          <cell r="N94">
            <v>143.10000000000002</v>
          </cell>
          <cell r="O94" t="str">
            <v>3202160601010443819</v>
          </cell>
          <cell r="P94" t="str">
            <v>466210900010184247</v>
          </cell>
        </row>
        <row r="95">
          <cell r="A95" t="str">
            <v>00011479</v>
          </cell>
          <cell r="B95" t="str">
            <v>李宏明</v>
          </cell>
          <cell r="C95" t="str">
            <v>李宏明</v>
          </cell>
          <cell r="D95" t="str">
            <v>实验师9</v>
          </cell>
          <cell r="E95" t="str">
            <v>实验师</v>
          </cell>
          <cell r="F95">
            <v>2786.57</v>
          </cell>
          <cell r="G95">
            <v>0</v>
          </cell>
          <cell r="H95">
            <v>1430</v>
          </cell>
          <cell r="K95">
            <v>1430</v>
          </cell>
          <cell r="L95">
            <v>4216.57</v>
          </cell>
          <cell r="M95">
            <v>21.5</v>
          </cell>
          <cell r="N95">
            <v>21.5</v>
          </cell>
          <cell r="O95" t="str">
            <v>3202160601010439050</v>
          </cell>
          <cell r="P95" t="str">
            <v>466210900010184719</v>
          </cell>
        </row>
        <row r="96">
          <cell r="A96" t="str">
            <v>00011480</v>
          </cell>
          <cell r="B96" t="str">
            <v>荣 冠</v>
          </cell>
          <cell r="C96" t="str">
            <v>荣冠</v>
          </cell>
          <cell r="D96" t="str">
            <v>副教授7</v>
          </cell>
          <cell r="E96" t="str">
            <v>副教授</v>
          </cell>
          <cell r="F96">
            <v>0</v>
          </cell>
          <cell r="G96">
            <v>0</v>
          </cell>
          <cell r="H96">
            <v>1950</v>
          </cell>
          <cell r="K96">
            <v>1950</v>
          </cell>
          <cell r="L96">
            <v>1950</v>
          </cell>
          <cell r="M96">
            <v>0</v>
          </cell>
          <cell r="N96">
            <v>0</v>
          </cell>
          <cell r="O96" t="str">
            <v>3202160601010440439</v>
          </cell>
          <cell r="P96" t="str">
            <v>466210901880383101</v>
          </cell>
        </row>
        <row r="97">
          <cell r="A97" t="str">
            <v>00011481</v>
          </cell>
          <cell r="B97" t="str">
            <v>王 涛SD</v>
          </cell>
          <cell r="C97" t="str">
            <v>王涛</v>
          </cell>
          <cell r="D97" t="str">
            <v>副教授7</v>
          </cell>
          <cell r="E97" t="str">
            <v>副教授</v>
          </cell>
          <cell r="F97">
            <v>3078.71</v>
          </cell>
          <cell r="G97">
            <v>0</v>
          </cell>
          <cell r="H97">
            <v>1950</v>
          </cell>
          <cell r="K97">
            <v>1950</v>
          </cell>
          <cell r="L97">
            <v>5028.71</v>
          </cell>
          <cell r="M97">
            <v>47.87</v>
          </cell>
          <cell r="N97">
            <v>47.87</v>
          </cell>
          <cell r="O97" t="str">
            <v>3202160601010619337</v>
          </cell>
          <cell r="P97" t="str">
            <v>466210900010184395</v>
          </cell>
        </row>
        <row r="98">
          <cell r="A98" t="str">
            <v>00011482</v>
          </cell>
          <cell r="B98" t="str">
            <v>杨连生</v>
          </cell>
          <cell r="C98" t="str">
            <v>杨连生</v>
          </cell>
          <cell r="D98" t="str">
            <v>副教授5</v>
          </cell>
          <cell r="E98" t="str">
            <v>副教授</v>
          </cell>
          <cell r="F98">
            <v>3758.5600000000004</v>
          </cell>
          <cell r="G98">
            <v>7.76</v>
          </cell>
          <cell r="H98">
            <v>2300</v>
          </cell>
          <cell r="K98">
            <v>2300</v>
          </cell>
          <cell r="L98">
            <v>6058.56</v>
          </cell>
          <cell r="M98">
            <v>150.86000000000001</v>
          </cell>
          <cell r="N98">
            <v>143.10000000000002</v>
          </cell>
          <cell r="O98" t="str">
            <v>3202160601010439972</v>
          </cell>
          <cell r="P98" t="str">
            <v>466210900010184360</v>
          </cell>
        </row>
        <row r="99">
          <cell r="A99" t="str">
            <v>00011485</v>
          </cell>
          <cell r="B99" t="str">
            <v>曾 力</v>
          </cell>
          <cell r="C99" t="str">
            <v>曾力</v>
          </cell>
          <cell r="D99" t="str">
            <v>副教授5</v>
          </cell>
          <cell r="E99" t="str">
            <v>副教授</v>
          </cell>
          <cell r="F99">
            <v>3614.51</v>
          </cell>
          <cell r="G99">
            <v>3.44</v>
          </cell>
          <cell r="H99">
            <v>2300</v>
          </cell>
          <cell r="K99">
            <v>2300</v>
          </cell>
          <cell r="L99">
            <v>5914.51</v>
          </cell>
          <cell r="M99">
            <v>136.44999999999999</v>
          </cell>
          <cell r="N99">
            <v>133.01</v>
          </cell>
          <cell r="O99" t="str">
            <v>3202160601010444721</v>
          </cell>
          <cell r="P99" t="str">
            <v>466210900010184085</v>
          </cell>
        </row>
        <row r="100">
          <cell r="A100" t="str">
            <v>00011486</v>
          </cell>
          <cell r="B100" t="str">
            <v>吴定燕</v>
          </cell>
          <cell r="C100" t="str">
            <v>吴定燕</v>
          </cell>
          <cell r="D100" t="str">
            <v>副教授6</v>
          </cell>
          <cell r="E100" t="str">
            <v>副教授</v>
          </cell>
          <cell r="F100">
            <v>3433.6099999999997</v>
          </cell>
          <cell r="G100">
            <v>0</v>
          </cell>
          <cell r="H100">
            <v>2100</v>
          </cell>
          <cell r="K100">
            <v>2100</v>
          </cell>
          <cell r="L100">
            <v>5533.61</v>
          </cell>
          <cell r="M100">
            <v>98.36</v>
          </cell>
          <cell r="N100">
            <v>98.36</v>
          </cell>
          <cell r="O100" t="str">
            <v>3202160601010444570</v>
          </cell>
          <cell r="P100" t="str">
            <v>466210900010184158</v>
          </cell>
        </row>
        <row r="101">
          <cell r="A101" t="str">
            <v>00011489</v>
          </cell>
          <cell r="B101" t="str">
            <v>何 真</v>
          </cell>
          <cell r="C101" t="str">
            <v>何真</v>
          </cell>
          <cell r="D101" t="str">
            <v>教授4</v>
          </cell>
          <cell r="E101" t="str">
            <v>教授</v>
          </cell>
          <cell r="F101">
            <v>4191.5600000000004</v>
          </cell>
          <cell r="G101">
            <v>20.75</v>
          </cell>
          <cell r="H101">
            <v>3350</v>
          </cell>
          <cell r="K101">
            <v>3350</v>
          </cell>
          <cell r="L101">
            <v>7541.56</v>
          </cell>
          <cell r="M101">
            <v>299.16000000000003</v>
          </cell>
          <cell r="N101">
            <v>278.41000000000003</v>
          </cell>
          <cell r="O101" t="str">
            <v>3202160601010444446</v>
          </cell>
          <cell r="P101" t="str">
            <v>466210901880217325</v>
          </cell>
        </row>
        <row r="102">
          <cell r="A102" t="str">
            <v>00011490</v>
          </cell>
          <cell r="B102" t="str">
            <v>何正勇</v>
          </cell>
          <cell r="C102" t="str">
            <v>何正勇</v>
          </cell>
          <cell r="D102" t="str">
            <v>实验师8</v>
          </cell>
          <cell r="E102" t="str">
            <v>实验师</v>
          </cell>
          <cell r="F102">
            <v>2855.07</v>
          </cell>
          <cell r="G102">
            <v>0</v>
          </cell>
          <cell r="H102">
            <v>1580</v>
          </cell>
          <cell r="K102">
            <v>1580</v>
          </cell>
          <cell r="L102">
            <v>4435.07</v>
          </cell>
          <cell r="M102">
            <v>28.05</v>
          </cell>
          <cell r="N102">
            <v>28.05</v>
          </cell>
          <cell r="O102" t="str">
            <v>3202160601010643891</v>
          </cell>
          <cell r="P102" t="str">
            <v>466210900010184670</v>
          </cell>
        </row>
        <row r="103">
          <cell r="A103" t="str">
            <v>00011491</v>
          </cell>
          <cell r="B103" t="str">
            <v>阮 燕</v>
          </cell>
          <cell r="C103" t="str">
            <v>阮燕</v>
          </cell>
          <cell r="D103" t="str">
            <v>副教授6</v>
          </cell>
          <cell r="E103" t="str">
            <v>副教授</v>
          </cell>
          <cell r="F103">
            <v>3318.17</v>
          </cell>
          <cell r="G103">
            <v>0</v>
          </cell>
          <cell r="H103">
            <v>2100</v>
          </cell>
          <cell r="K103">
            <v>2100</v>
          </cell>
          <cell r="L103">
            <v>5418.17</v>
          </cell>
          <cell r="M103">
            <v>86.82</v>
          </cell>
          <cell r="N103">
            <v>86.82</v>
          </cell>
          <cell r="O103" t="str">
            <v>3202160601010444845</v>
          </cell>
          <cell r="P103" t="str">
            <v>466210900010184123</v>
          </cell>
        </row>
        <row r="104">
          <cell r="A104" t="str">
            <v>00011492</v>
          </cell>
          <cell r="B104" t="str">
            <v>涂胜金</v>
          </cell>
          <cell r="C104" t="str">
            <v>涂胜金</v>
          </cell>
          <cell r="D104" t="str">
            <v>高级实验师5</v>
          </cell>
          <cell r="E104" t="str">
            <v>高级实验师</v>
          </cell>
          <cell r="F104">
            <v>3758.5600000000004</v>
          </cell>
          <cell r="G104">
            <v>7.76</v>
          </cell>
          <cell r="H104">
            <v>2300</v>
          </cell>
          <cell r="K104">
            <v>2300</v>
          </cell>
          <cell r="L104">
            <v>6058.56</v>
          </cell>
          <cell r="M104">
            <v>150.86000000000001</v>
          </cell>
          <cell r="N104">
            <v>143.10000000000002</v>
          </cell>
          <cell r="O104" t="str">
            <v>3202160601010431683</v>
          </cell>
          <cell r="P104" t="str">
            <v>466210900010184662</v>
          </cell>
        </row>
        <row r="105">
          <cell r="A105" t="str">
            <v>00011497</v>
          </cell>
          <cell r="B105" t="str">
            <v>徐明毅</v>
          </cell>
          <cell r="C105" t="str">
            <v>徐明毅</v>
          </cell>
          <cell r="D105" t="str">
            <v>副教授7</v>
          </cell>
          <cell r="E105" t="str">
            <v>副教授</v>
          </cell>
          <cell r="F105">
            <v>3140.87</v>
          </cell>
          <cell r="G105">
            <v>0</v>
          </cell>
          <cell r="H105">
            <v>1950</v>
          </cell>
          <cell r="K105">
            <v>1950</v>
          </cell>
          <cell r="L105">
            <v>5090.87</v>
          </cell>
          <cell r="M105">
            <v>54.09</v>
          </cell>
          <cell r="N105">
            <v>54.09</v>
          </cell>
          <cell r="O105" t="str">
            <v>3202160601061094020</v>
          </cell>
          <cell r="P105" t="str">
            <v>466210901880249030</v>
          </cell>
        </row>
        <row r="106">
          <cell r="A106" t="str">
            <v>00011499</v>
          </cell>
          <cell r="B106" t="str">
            <v>何金平</v>
          </cell>
          <cell r="C106" t="str">
            <v>何金平</v>
          </cell>
          <cell r="D106" t="str">
            <v>教授4</v>
          </cell>
          <cell r="E106" t="str">
            <v>教授</v>
          </cell>
          <cell r="F106">
            <v>3982.13</v>
          </cell>
          <cell r="G106">
            <v>14.46</v>
          </cell>
          <cell r="H106">
            <v>3350</v>
          </cell>
          <cell r="K106">
            <v>3350</v>
          </cell>
          <cell r="L106">
            <v>7332.13</v>
          </cell>
          <cell r="M106">
            <v>278.20999999999998</v>
          </cell>
          <cell r="N106">
            <v>263.75</v>
          </cell>
          <cell r="O106" t="str">
            <v>3202160601010437246</v>
          </cell>
          <cell r="P106" t="str">
            <v>466210901880201356</v>
          </cell>
        </row>
        <row r="107">
          <cell r="A107" t="str">
            <v>00011500</v>
          </cell>
          <cell r="B107" t="str">
            <v>李 民</v>
          </cell>
          <cell r="C107" t="str">
            <v>李民</v>
          </cell>
          <cell r="D107" t="str">
            <v>副教授5</v>
          </cell>
          <cell r="E107" t="str">
            <v>副教授</v>
          </cell>
          <cell r="F107">
            <v>3640.16</v>
          </cell>
          <cell r="G107">
            <v>4.2</v>
          </cell>
          <cell r="H107">
            <v>2300</v>
          </cell>
          <cell r="K107">
            <v>2300</v>
          </cell>
          <cell r="L107">
            <v>5940.16</v>
          </cell>
          <cell r="M107">
            <v>139.02000000000001</v>
          </cell>
          <cell r="N107">
            <v>134.82000000000002</v>
          </cell>
          <cell r="O107" t="str">
            <v>3202160601010437122</v>
          </cell>
          <cell r="P107" t="str">
            <v>466210900010183275</v>
          </cell>
        </row>
        <row r="108">
          <cell r="A108" t="str">
            <v>00011501</v>
          </cell>
          <cell r="B108" t="str">
            <v>赖国伟</v>
          </cell>
          <cell r="C108" t="str">
            <v>赖国伟</v>
          </cell>
          <cell r="D108" t="str">
            <v>教授4</v>
          </cell>
          <cell r="E108" t="str">
            <v>教授</v>
          </cell>
          <cell r="F108">
            <v>4234.71</v>
          </cell>
          <cell r="G108">
            <v>22.04</v>
          </cell>
          <cell r="H108">
            <v>3350</v>
          </cell>
          <cell r="K108">
            <v>3350</v>
          </cell>
          <cell r="L108">
            <v>7584.71</v>
          </cell>
          <cell r="M108">
            <v>303.47000000000003</v>
          </cell>
          <cell r="N108">
            <v>281.43</v>
          </cell>
          <cell r="O108" t="str">
            <v>3202160601010437095</v>
          </cell>
          <cell r="P108" t="str">
            <v>466210900010183011</v>
          </cell>
        </row>
        <row r="109">
          <cell r="A109" t="str">
            <v>00011502</v>
          </cell>
          <cell r="B109" t="str">
            <v>李桂荣</v>
          </cell>
          <cell r="C109" t="str">
            <v>李桂荣</v>
          </cell>
          <cell r="D109" t="str">
            <v>高级实验师5</v>
          </cell>
          <cell r="E109" t="str">
            <v>高级实验师</v>
          </cell>
          <cell r="F109">
            <v>3689.76</v>
          </cell>
          <cell r="G109">
            <v>5.69</v>
          </cell>
          <cell r="H109">
            <v>2300</v>
          </cell>
          <cell r="K109">
            <v>2300</v>
          </cell>
          <cell r="L109">
            <v>5989.76</v>
          </cell>
          <cell r="M109">
            <v>143.97999999999999</v>
          </cell>
          <cell r="N109">
            <v>138.29</v>
          </cell>
          <cell r="O109" t="str">
            <v>3202160601010436220</v>
          </cell>
          <cell r="P109" t="str">
            <v>466210901880389207</v>
          </cell>
        </row>
        <row r="110">
          <cell r="A110" t="str">
            <v>00011503</v>
          </cell>
          <cell r="B110" t="str">
            <v>佘成学</v>
          </cell>
          <cell r="C110" t="str">
            <v>佘成学</v>
          </cell>
          <cell r="D110" t="str">
            <v>教授4</v>
          </cell>
          <cell r="E110" t="str">
            <v>教授</v>
          </cell>
          <cell r="F110">
            <v>4141.96</v>
          </cell>
          <cell r="G110">
            <v>19.260000000000002</v>
          </cell>
          <cell r="H110">
            <v>3350</v>
          </cell>
          <cell r="K110">
            <v>3350</v>
          </cell>
          <cell r="L110">
            <v>7491.96</v>
          </cell>
          <cell r="M110">
            <v>294.2</v>
          </cell>
          <cell r="N110">
            <v>274.94</v>
          </cell>
          <cell r="O110" t="str">
            <v>3202160601010436991</v>
          </cell>
          <cell r="P110" t="str">
            <v>466210900010183410</v>
          </cell>
        </row>
        <row r="111">
          <cell r="A111" t="str">
            <v>00011505</v>
          </cell>
          <cell r="B111" t="str">
            <v>费文才</v>
          </cell>
          <cell r="C111" t="str">
            <v>费文才</v>
          </cell>
          <cell r="D111" t="str">
            <v>副教授6</v>
          </cell>
          <cell r="E111" t="str">
            <v>副教授</v>
          </cell>
          <cell r="F111">
            <v>3439.26</v>
          </cell>
          <cell r="G111">
            <v>0</v>
          </cell>
          <cell r="H111">
            <v>2100</v>
          </cell>
          <cell r="K111">
            <v>2100</v>
          </cell>
          <cell r="L111">
            <v>5539.26</v>
          </cell>
          <cell r="M111">
            <v>98.93</v>
          </cell>
          <cell r="N111">
            <v>98.93</v>
          </cell>
          <cell r="O111" t="str">
            <v>3202160601010437494</v>
          </cell>
          <cell r="P111" t="str">
            <v>466210900010183518</v>
          </cell>
        </row>
        <row r="112">
          <cell r="A112" t="str">
            <v>00011506</v>
          </cell>
          <cell r="B112" t="str">
            <v>何蕴龙</v>
          </cell>
          <cell r="C112" t="str">
            <v>何蕴龙</v>
          </cell>
          <cell r="D112" t="str">
            <v>教授4</v>
          </cell>
          <cell r="E112" t="str">
            <v>教授</v>
          </cell>
          <cell r="F112">
            <v>4234.71</v>
          </cell>
          <cell r="G112">
            <v>22.04</v>
          </cell>
          <cell r="H112">
            <v>3350</v>
          </cell>
          <cell r="K112">
            <v>3350</v>
          </cell>
          <cell r="L112">
            <v>7584.71</v>
          </cell>
          <cell r="M112">
            <v>303.47000000000003</v>
          </cell>
          <cell r="N112">
            <v>281.43</v>
          </cell>
          <cell r="O112" t="str">
            <v>3202160601010622929</v>
          </cell>
          <cell r="P112" t="str">
            <v>466210900010183003</v>
          </cell>
        </row>
        <row r="113">
          <cell r="A113" t="str">
            <v>00011508</v>
          </cell>
          <cell r="B113" t="str">
            <v>雷川华</v>
          </cell>
          <cell r="C113" t="str">
            <v>雷川华</v>
          </cell>
          <cell r="D113" t="str">
            <v>实验师8</v>
          </cell>
          <cell r="E113" t="str">
            <v>实验师</v>
          </cell>
          <cell r="F113">
            <v>2921.17</v>
          </cell>
          <cell r="G113">
            <v>0</v>
          </cell>
          <cell r="H113">
            <v>1580</v>
          </cell>
          <cell r="K113">
            <v>1580</v>
          </cell>
          <cell r="L113">
            <v>4501.17</v>
          </cell>
          <cell r="M113">
            <v>30.04</v>
          </cell>
          <cell r="N113">
            <v>30.04</v>
          </cell>
          <cell r="O113" t="str">
            <v>3202160601010436592</v>
          </cell>
          <cell r="P113" t="str">
            <v>466210900010184581</v>
          </cell>
        </row>
        <row r="114">
          <cell r="A114" t="str">
            <v>00011510</v>
          </cell>
          <cell r="B114" t="str">
            <v>陈胜宏</v>
          </cell>
          <cell r="C114" t="str">
            <v>陈胜宏</v>
          </cell>
          <cell r="D114" t="str">
            <v>教授2</v>
          </cell>
          <cell r="E114" t="str">
            <v>教授</v>
          </cell>
          <cell r="F114">
            <v>5098.66</v>
          </cell>
          <cell r="G114">
            <v>54.87</v>
          </cell>
          <cell r="H114">
            <v>4950</v>
          </cell>
          <cell r="K114">
            <v>4950</v>
          </cell>
          <cell r="L114">
            <v>10048.66</v>
          </cell>
          <cell r="M114">
            <v>754.73</v>
          </cell>
          <cell r="N114">
            <v>699.86</v>
          </cell>
          <cell r="O114" t="str">
            <v>3202160601010436619</v>
          </cell>
          <cell r="P114" t="str">
            <v>466210901880185784</v>
          </cell>
        </row>
        <row r="115">
          <cell r="A115" t="str">
            <v>00011511</v>
          </cell>
          <cell r="B115" t="str">
            <v>王均星</v>
          </cell>
          <cell r="C115" t="str">
            <v>王均星</v>
          </cell>
          <cell r="D115" t="str">
            <v>教授4</v>
          </cell>
          <cell r="E115" t="str">
            <v>教授</v>
          </cell>
          <cell r="F115">
            <v>4112.3599999999997</v>
          </cell>
          <cell r="G115">
            <v>18.37</v>
          </cell>
          <cell r="H115">
            <v>3350</v>
          </cell>
          <cell r="K115">
            <v>3350</v>
          </cell>
          <cell r="L115">
            <v>7462.36</v>
          </cell>
          <cell r="M115">
            <v>291.24</v>
          </cell>
          <cell r="N115">
            <v>272.87</v>
          </cell>
          <cell r="O115" t="str">
            <v>3202160601010436743</v>
          </cell>
          <cell r="P115" t="str">
            <v>466210900010183380</v>
          </cell>
        </row>
        <row r="116">
          <cell r="A116" t="str">
            <v>00011513</v>
          </cell>
          <cell r="B116" t="str">
            <v>吴云芳</v>
          </cell>
          <cell r="C116" t="str">
            <v>吴云芳</v>
          </cell>
          <cell r="D116" t="str">
            <v>七级</v>
          </cell>
          <cell r="E116" t="str">
            <v>七级</v>
          </cell>
          <cell r="F116">
            <v>2743.43</v>
          </cell>
          <cell r="G116">
            <v>0</v>
          </cell>
          <cell r="H116">
            <v>1680</v>
          </cell>
          <cell r="J116">
            <v>800</v>
          </cell>
          <cell r="K116">
            <v>2480</v>
          </cell>
          <cell r="L116">
            <v>5223.43</v>
          </cell>
          <cell r="M116">
            <v>67.34</v>
          </cell>
          <cell r="N116">
            <v>67.34</v>
          </cell>
          <cell r="O116" t="str">
            <v>3202160601010649578</v>
          </cell>
          <cell r="P116" t="str">
            <v>466210901880181932</v>
          </cell>
          <cell r="Q116" t="str">
            <v>七级六年</v>
          </cell>
        </row>
        <row r="117">
          <cell r="A117" t="str">
            <v>00011515</v>
          </cell>
          <cell r="B117" t="str">
            <v>肖 宜</v>
          </cell>
          <cell r="C117" t="str">
            <v>肖宜</v>
          </cell>
          <cell r="D117" t="str">
            <v>副教授7</v>
          </cell>
          <cell r="E117" t="str">
            <v>副教授</v>
          </cell>
          <cell r="F117">
            <v>3098.71</v>
          </cell>
          <cell r="G117">
            <v>0</v>
          </cell>
          <cell r="H117">
            <v>1950</v>
          </cell>
          <cell r="K117">
            <v>1950</v>
          </cell>
          <cell r="L117">
            <v>5048.71</v>
          </cell>
          <cell r="M117">
            <v>49.87</v>
          </cell>
          <cell r="N117">
            <v>49.87</v>
          </cell>
          <cell r="O117" t="str">
            <v>3202160601010704833</v>
          </cell>
          <cell r="P117" t="str">
            <v>466210900010183798</v>
          </cell>
        </row>
        <row r="118">
          <cell r="A118" t="str">
            <v>00011517</v>
          </cell>
          <cell r="B118" t="str">
            <v>贺昌海</v>
          </cell>
          <cell r="C118" t="str">
            <v>贺昌海</v>
          </cell>
          <cell r="D118" t="str">
            <v>教授4</v>
          </cell>
          <cell r="E118" t="str">
            <v>教授</v>
          </cell>
          <cell r="F118">
            <v>3982.13</v>
          </cell>
          <cell r="G118">
            <v>14.46</v>
          </cell>
          <cell r="H118">
            <v>3350</v>
          </cell>
          <cell r="K118">
            <v>3350</v>
          </cell>
          <cell r="L118">
            <v>7332.13</v>
          </cell>
          <cell r="M118">
            <v>278.20999999999998</v>
          </cell>
          <cell r="N118">
            <v>263.75</v>
          </cell>
          <cell r="O118" t="str">
            <v>3202160601010442243</v>
          </cell>
          <cell r="P118" t="str">
            <v>466210901880318962</v>
          </cell>
        </row>
        <row r="119">
          <cell r="A119" t="str">
            <v>00011518</v>
          </cell>
          <cell r="B119" t="str">
            <v>朱传云</v>
          </cell>
          <cell r="C119" t="str">
            <v>朱传云</v>
          </cell>
          <cell r="D119" t="str">
            <v>副教授5</v>
          </cell>
          <cell r="E119" t="str">
            <v>副教授</v>
          </cell>
          <cell r="F119">
            <v>3891.76</v>
          </cell>
          <cell r="G119">
            <v>11.75</v>
          </cell>
          <cell r="H119">
            <v>2300</v>
          </cell>
          <cell r="K119">
            <v>2300</v>
          </cell>
          <cell r="L119">
            <v>6191.76</v>
          </cell>
          <cell r="M119">
            <v>164.18</v>
          </cell>
          <cell r="N119">
            <v>152.43</v>
          </cell>
          <cell r="O119" t="str">
            <v>3202160601010441589</v>
          </cell>
          <cell r="P119" t="str">
            <v>466210900010183720</v>
          </cell>
        </row>
        <row r="120">
          <cell r="A120" t="str">
            <v>00011519</v>
          </cell>
          <cell r="B120" t="str">
            <v>周力平</v>
          </cell>
          <cell r="C120" t="str">
            <v>周力平</v>
          </cell>
          <cell r="D120" t="str">
            <v>高级实验师6</v>
          </cell>
          <cell r="E120" t="str">
            <v>高级实验师</v>
          </cell>
          <cell r="F120">
            <v>3549.76</v>
          </cell>
          <cell r="G120">
            <v>1.49</v>
          </cell>
          <cell r="H120">
            <v>2100</v>
          </cell>
          <cell r="K120">
            <v>2100</v>
          </cell>
          <cell r="L120">
            <v>5649.76</v>
          </cell>
          <cell r="M120">
            <v>109.98</v>
          </cell>
          <cell r="N120">
            <v>108.49000000000001</v>
          </cell>
          <cell r="O120" t="str">
            <v>3202160601010441616</v>
          </cell>
          <cell r="P120" t="str">
            <v>466210900010184573</v>
          </cell>
        </row>
        <row r="121">
          <cell r="A121" t="str">
            <v>00011521</v>
          </cell>
          <cell r="B121" t="str">
            <v>舒大强</v>
          </cell>
          <cell r="C121" t="str">
            <v>舒大强</v>
          </cell>
          <cell r="D121" t="str">
            <v>教授3</v>
          </cell>
          <cell r="E121" t="str">
            <v>教授</v>
          </cell>
          <cell r="F121">
            <v>4569.16</v>
          </cell>
          <cell r="G121">
            <v>32.07</v>
          </cell>
          <cell r="H121">
            <v>4150</v>
          </cell>
          <cell r="K121">
            <v>4150</v>
          </cell>
          <cell r="L121">
            <v>8719.16</v>
          </cell>
          <cell r="M121">
            <v>488.83</v>
          </cell>
          <cell r="N121">
            <v>456.76</v>
          </cell>
          <cell r="O121" t="str">
            <v>3202160601010441864</v>
          </cell>
          <cell r="P121" t="str">
            <v>466210900010183615</v>
          </cell>
        </row>
        <row r="122">
          <cell r="A122" t="str">
            <v>00011522</v>
          </cell>
          <cell r="B122" t="str">
            <v>申明亮</v>
          </cell>
          <cell r="C122" t="str">
            <v>申明亮</v>
          </cell>
          <cell r="D122" t="str">
            <v>副教授5</v>
          </cell>
          <cell r="E122" t="str">
            <v>副教授</v>
          </cell>
          <cell r="F122">
            <v>3669.76</v>
          </cell>
          <cell r="G122">
            <v>5.09</v>
          </cell>
          <cell r="H122">
            <v>2300</v>
          </cell>
          <cell r="K122">
            <v>2300</v>
          </cell>
          <cell r="L122">
            <v>5969.76</v>
          </cell>
          <cell r="M122">
            <v>141.97999999999999</v>
          </cell>
          <cell r="N122">
            <v>136.88999999999999</v>
          </cell>
          <cell r="O122" t="str">
            <v>3202160601010626537</v>
          </cell>
          <cell r="P122" t="str">
            <v>466210900010183763</v>
          </cell>
        </row>
        <row r="123">
          <cell r="A123" t="str">
            <v>00011523</v>
          </cell>
          <cell r="B123" t="str">
            <v>吴益明</v>
          </cell>
          <cell r="C123" t="str">
            <v>吴益明</v>
          </cell>
          <cell r="D123" t="str">
            <v>副教授6</v>
          </cell>
          <cell r="E123" t="str">
            <v>副教授</v>
          </cell>
          <cell r="F123">
            <v>3439.26</v>
          </cell>
          <cell r="G123">
            <v>0</v>
          </cell>
          <cell r="H123">
            <v>2100</v>
          </cell>
          <cell r="K123">
            <v>2100</v>
          </cell>
          <cell r="L123">
            <v>5539.26</v>
          </cell>
          <cell r="M123">
            <v>98.93</v>
          </cell>
          <cell r="N123">
            <v>98.93</v>
          </cell>
          <cell r="O123" t="str">
            <v>6222023202050056679</v>
          </cell>
          <cell r="P123" t="str">
            <v>466210900010183801</v>
          </cell>
        </row>
        <row r="124">
          <cell r="A124" t="str">
            <v>00011525</v>
          </cell>
          <cell r="B124" t="str">
            <v>卢文波</v>
          </cell>
          <cell r="C124" t="str">
            <v>卢文波</v>
          </cell>
          <cell r="D124" t="str">
            <v>教授2</v>
          </cell>
          <cell r="E124" t="str">
            <v>教授</v>
          </cell>
          <cell r="F124">
            <v>4735.5600000000004</v>
          </cell>
          <cell r="G124">
            <v>37.07</v>
          </cell>
          <cell r="H124">
            <v>7500</v>
          </cell>
          <cell r="I124" t="str">
            <v>珞特</v>
          </cell>
          <cell r="J124">
            <v>1200</v>
          </cell>
          <cell r="K124">
            <v>9900</v>
          </cell>
          <cell r="L124">
            <v>14635.560000000001</v>
          </cell>
          <cell r="M124">
            <v>1778.89</v>
          </cell>
          <cell r="N124">
            <v>1741.8200000000002</v>
          </cell>
          <cell r="O124" t="str">
            <v>6222083202001647870</v>
          </cell>
          <cell r="P124" t="str">
            <v>466210901880203111</v>
          </cell>
          <cell r="R124">
            <v>1200</v>
          </cell>
          <cell r="S124" t="str">
            <v>珞珈特聘</v>
          </cell>
        </row>
        <row r="125">
          <cell r="A125" t="str">
            <v>00011527</v>
          </cell>
          <cell r="B125" t="str">
            <v>杨 磊</v>
          </cell>
          <cell r="C125" t="str">
            <v>杨磊</v>
          </cell>
          <cell r="D125" t="str">
            <v>副教授7</v>
          </cell>
          <cell r="E125" t="str">
            <v>副教授</v>
          </cell>
          <cell r="F125">
            <v>3078.71</v>
          </cell>
          <cell r="G125">
            <v>0</v>
          </cell>
          <cell r="H125">
            <v>1950</v>
          </cell>
          <cell r="K125">
            <v>1950</v>
          </cell>
          <cell r="L125">
            <v>5028.71</v>
          </cell>
          <cell r="M125">
            <v>47.87</v>
          </cell>
          <cell r="N125">
            <v>47.87</v>
          </cell>
          <cell r="O125" t="str">
            <v>3202160601010616108</v>
          </cell>
          <cell r="P125" t="str">
            <v>466210900010183917</v>
          </cell>
        </row>
        <row r="126">
          <cell r="A126" t="str">
            <v>00011528</v>
          </cell>
          <cell r="B126" t="str">
            <v>任春秀</v>
          </cell>
          <cell r="C126" t="str">
            <v>任春秀</v>
          </cell>
          <cell r="D126" t="str">
            <v>七级</v>
          </cell>
          <cell r="E126" t="str">
            <v>七级</v>
          </cell>
          <cell r="F126">
            <v>2843.81</v>
          </cell>
          <cell r="G126">
            <v>0</v>
          </cell>
          <cell r="H126">
            <v>2530</v>
          </cell>
          <cell r="J126">
            <v>1200</v>
          </cell>
          <cell r="K126">
            <v>4930</v>
          </cell>
          <cell r="L126">
            <v>7773.8099999999995</v>
          </cell>
          <cell r="M126">
            <v>322.38</v>
          </cell>
          <cell r="N126">
            <v>322.38</v>
          </cell>
          <cell r="O126" t="str">
            <v>3202160601010616507</v>
          </cell>
          <cell r="P126" t="str">
            <v>466210900010183941</v>
          </cell>
          <cell r="R126">
            <v>1200</v>
          </cell>
        </row>
        <row r="127">
          <cell r="A127" t="str">
            <v>00011529</v>
          </cell>
          <cell r="B127" t="str">
            <v>胡志根</v>
          </cell>
          <cell r="C127" t="str">
            <v>胡志根</v>
          </cell>
          <cell r="D127" t="str">
            <v>教授3</v>
          </cell>
          <cell r="E127" t="str">
            <v>教授</v>
          </cell>
          <cell r="F127">
            <v>4535.6099999999997</v>
          </cell>
          <cell r="G127">
            <v>31.07</v>
          </cell>
          <cell r="H127">
            <v>4150</v>
          </cell>
          <cell r="K127">
            <v>4150</v>
          </cell>
          <cell r="L127">
            <v>8685.61</v>
          </cell>
          <cell r="M127">
            <v>482.12</v>
          </cell>
          <cell r="N127">
            <v>451.05</v>
          </cell>
          <cell r="O127" t="str">
            <v>3202160601010440838</v>
          </cell>
          <cell r="P127" t="str">
            <v>466210900010183658</v>
          </cell>
        </row>
        <row r="128">
          <cell r="A128" t="str">
            <v>00011560</v>
          </cell>
          <cell r="B128" t="str">
            <v>吴长胜</v>
          </cell>
          <cell r="C128" t="str">
            <v>吴长胜</v>
          </cell>
          <cell r="D128" t="str">
            <v>实验师8</v>
          </cell>
          <cell r="E128" t="str">
            <v>实验师</v>
          </cell>
          <cell r="F128">
            <v>2992.21</v>
          </cell>
          <cell r="G128">
            <v>0</v>
          </cell>
          <cell r="H128">
            <v>1580</v>
          </cell>
          <cell r="K128">
            <v>1580</v>
          </cell>
          <cell r="L128">
            <v>4572.21</v>
          </cell>
          <cell r="M128">
            <v>32.17</v>
          </cell>
          <cell r="N128">
            <v>32.17</v>
          </cell>
          <cell r="O128" t="str">
            <v>3202160601010467514</v>
          </cell>
          <cell r="P128" t="str">
            <v>466210901880414201</v>
          </cell>
        </row>
        <row r="129">
          <cell r="A129" t="str">
            <v>00011561</v>
          </cell>
          <cell r="B129" t="str">
            <v>王学武</v>
          </cell>
          <cell r="C129" t="str">
            <v>王学武</v>
          </cell>
          <cell r="D129" t="str">
            <v>实验师8</v>
          </cell>
          <cell r="E129" t="str">
            <v>实验师</v>
          </cell>
          <cell r="F129">
            <v>2876.77</v>
          </cell>
          <cell r="G129">
            <v>0</v>
          </cell>
          <cell r="H129">
            <v>1580</v>
          </cell>
          <cell r="K129">
            <v>1580</v>
          </cell>
          <cell r="L129">
            <v>4456.7700000000004</v>
          </cell>
          <cell r="M129">
            <v>28.7</v>
          </cell>
          <cell r="N129">
            <v>28.7</v>
          </cell>
          <cell r="O129" t="str">
            <v>3202160601010469318</v>
          </cell>
          <cell r="P129" t="str">
            <v>466210901880414198</v>
          </cell>
        </row>
        <row r="130">
          <cell r="A130" t="str">
            <v>00011562</v>
          </cell>
          <cell r="B130" t="str">
            <v>黄汉生</v>
          </cell>
          <cell r="C130" t="str">
            <v>黄汉生</v>
          </cell>
          <cell r="D130" t="str">
            <v>高级实验师6</v>
          </cell>
          <cell r="E130" t="str">
            <v>高级实验师</v>
          </cell>
          <cell r="F130">
            <v>3298.17</v>
          </cell>
          <cell r="G130">
            <v>0</v>
          </cell>
          <cell r="H130">
            <v>2100</v>
          </cell>
          <cell r="K130">
            <v>2100</v>
          </cell>
          <cell r="L130">
            <v>5398.17</v>
          </cell>
          <cell r="M130">
            <v>84.82</v>
          </cell>
          <cell r="N130">
            <v>84.82</v>
          </cell>
          <cell r="O130" t="str">
            <v>3202160601010417035</v>
          </cell>
          <cell r="P130" t="str">
            <v>466210900010184506</v>
          </cell>
        </row>
        <row r="131">
          <cell r="A131" t="str">
            <v>00011563</v>
          </cell>
          <cell r="B131" t="str">
            <v>李 莫</v>
          </cell>
          <cell r="C131" t="str">
            <v>李莫</v>
          </cell>
          <cell r="D131" t="str">
            <v>实验师9</v>
          </cell>
          <cell r="E131" t="str">
            <v>实验师</v>
          </cell>
          <cell r="F131">
            <v>2806.57</v>
          </cell>
          <cell r="G131">
            <v>0</v>
          </cell>
          <cell r="H131">
            <v>1430</v>
          </cell>
          <cell r="K131">
            <v>1430</v>
          </cell>
          <cell r="L131">
            <v>4236.57</v>
          </cell>
          <cell r="M131">
            <v>22.1</v>
          </cell>
          <cell r="N131">
            <v>22.1</v>
          </cell>
          <cell r="O131" t="str">
            <v>3202160601010652248</v>
          </cell>
          <cell r="P131" t="str">
            <v>466210901880259508</v>
          </cell>
        </row>
        <row r="132">
          <cell r="A132" t="str">
            <v>00011566</v>
          </cell>
          <cell r="B132" t="str">
            <v>贾 嘉</v>
          </cell>
          <cell r="C132" t="str">
            <v>贾嘉</v>
          </cell>
          <cell r="D132" t="str">
            <v>实验师9</v>
          </cell>
          <cell r="E132" t="str">
            <v>实验师</v>
          </cell>
          <cell r="F132">
            <v>2850.97</v>
          </cell>
          <cell r="G132">
            <v>0</v>
          </cell>
          <cell r="H132">
            <v>1430</v>
          </cell>
          <cell r="J132">
            <v>500</v>
          </cell>
          <cell r="K132">
            <v>1930</v>
          </cell>
          <cell r="L132">
            <v>4780.9699999999993</v>
          </cell>
          <cell r="M132">
            <v>38.43</v>
          </cell>
          <cell r="N132">
            <v>38.43</v>
          </cell>
          <cell r="O132" t="str">
            <v>3202160601010381727</v>
          </cell>
          <cell r="P132" t="str">
            <v>466210901880180057</v>
          </cell>
        </row>
        <row r="133">
          <cell r="A133" t="str">
            <v>00011573</v>
          </cell>
          <cell r="B133" t="str">
            <v>黄忠华</v>
          </cell>
          <cell r="C133" t="str">
            <v>黄忠华</v>
          </cell>
          <cell r="D133" t="str">
            <v>六级</v>
          </cell>
          <cell r="E133" t="str">
            <v>六级</v>
          </cell>
          <cell r="F133">
            <v>3317.51</v>
          </cell>
          <cell r="G133">
            <v>0</v>
          </cell>
          <cell r="H133">
            <v>2100</v>
          </cell>
          <cell r="J133">
            <v>900</v>
          </cell>
          <cell r="K133">
            <v>3000</v>
          </cell>
          <cell r="L133">
            <v>6317.51</v>
          </cell>
          <cell r="M133">
            <v>176.75</v>
          </cell>
          <cell r="N133">
            <v>176.75</v>
          </cell>
          <cell r="O133" t="str">
            <v>3202160601010411747</v>
          </cell>
          <cell r="P133" t="str">
            <v>466210901880441675</v>
          </cell>
        </row>
        <row r="134">
          <cell r="A134" t="str">
            <v>00011575</v>
          </cell>
          <cell r="B134" t="str">
            <v>黄 爽</v>
          </cell>
          <cell r="C134" t="str">
            <v>黄爽</v>
          </cell>
          <cell r="D134" t="str">
            <v>副教授7</v>
          </cell>
          <cell r="E134" t="str">
            <v>副教授</v>
          </cell>
          <cell r="F134">
            <v>0</v>
          </cell>
          <cell r="G134">
            <v>0</v>
          </cell>
          <cell r="H134">
            <v>1950</v>
          </cell>
          <cell r="K134">
            <v>1950</v>
          </cell>
          <cell r="L134">
            <v>1950</v>
          </cell>
          <cell r="M134">
            <v>0</v>
          </cell>
          <cell r="N134">
            <v>0</v>
          </cell>
          <cell r="O134" t="str">
            <v>3202160601010653150</v>
          </cell>
          <cell r="P134" t="str">
            <v>466210900010182503</v>
          </cell>
        </row>
        <row r="135">
          <cell r="A135" t="str">
            <v>00011576</v>
          </cell>
          <cell r="B135" t="str">
            <v>罗 强</v>
          </cell>
          <cell r="C135" t="str">
            <v>罗强</v>
          </cell>
          <cell r="D135" t="str">
            <v>副教授6</v>
          </cell>
          <cell r="E135" t="str">
            <v>副教授</v>
          </cell>
          <cell r="F135">
            <v>3275.4700000000003</v>
          </cell>
          <cell r="G135">
            <v>0</v>
          </cell>
          <cell r="H135">
            <v>2100</v>
          </cell>
          <cell r="K135">
            <v>2100</v>
          </cell>
          <cell r="L135">
            <v>5375.47</v>
          </cell>
          <cell r="M135">
            <v>82.55</v>
          </cell>
          <cell r="N135">
            <v>82.55</v>
          </cell>
          <cell r="O135" t="str">
            <v>3202160601010636044</v>
          </cell>
          <cell r="P135" t="str">
            <v>466210900010182473</v>
          </cell>
        </row>
        <row r="136">
          <cell r="A136" t="str">
            <v>00011577</v>
          </cell>
          <cell r="B136" t="str">
            <v>董 斌</v>
          </cell>
          <cell r="C136" t="str">
            <v>董斌</v>
          </cell>
          <cell r="D136" t="str">
            <v>教授4</v>
          </cell>
          <cell r="E136" t="str">
            <v>教授</v>
          </cell>
          <cell r="F136">
            <v>3934.7700000000004</v>
          </cell>
          <cell r="G136">
            <v>13.04</v>
          </cell>
          <cell r="H136">
            <v>3350</v>
          </cell>
          <cell r="K136">
            <v>3350</v>
          </cell>
          <cell r="L136">
            <v>7284.77</v>
          </cell>
          <cell r="M136">
            <v>273.48</v>
          </cell>
          <cell r="N136">
            <v>260.44</v>
          </cell>
          <cell r="O136" t="str">
            <v>3202160601010411472</v>
          </cell>
          <cell r="P136" t="str">
            <v>466210900010182449</v>
          </cell>
        </row>
        <row r="137">
          <cell r="A137" t="str">
            <v>00011578</v>
          </cell>
          <cell r="B137" t="str">
            <v>胡铁松</v>
          </cell>
          <cell r="C137" t="str">
            <v>胡铁松</v>
          </cell>
          <cell r="D137" t="str">
            <v>教授3</v>
          </cell>
          <cell r="E137" t="str">
            <v>教授</v>
          </cell>
          <cell r="F137">
            <v>4535.6099999999997</v>
          </cell>
          <cell r="G137">
            <v>31.07</v>
          </cell>
          <cell r="H137">
            <v>4150</v>
          </cell>
          <cell r="K137">
            <v>4150</v>
          </cell>
          <cell r="L137">
            <v>8685.61</v>
          </cell>
          <cell r="M137">
            <v>482.12</v>
          </cell>
          <cell r="N137">
            <v>451.05</v>
          </cell>
          <cell r="O137" t="str">
            <v>3202160601010412002</v>
          </cell>
          <cell r="P137" t="str">
            <v>466210901880302977</v>
          </cell>
        </row>
        <row r="138">
          <cell r="A138" t="str">
            <v>00011579</v>
          </cell>
          <cell r="B138" t="str">
            <v>黄介生</v>
          </cell>
          <cell r="C138" t="str">
            <v>黄介生</v>
          </cell>
          <cell r="D138" t="str">
            <v>教授3</v>
          </cell>
          <cell r="E138" t="str">
            <v>教授</v>
          </cell>
          <cell r="F138">
            <v>4569.16</v>
          </cell>
          <cell r="G138">
            <v>32.07</v>
          </cell>
          <cell r="H138">
            <v>4150</v>
          </cell>
          <cell r="J138">
            <v>1500</v>
          </cell>
          <cell r="K138">
            <v>5650</v>
          </cell>
          <cell r="L138">
            <v>10219.16</v>
          </cell>
          <cell r="M138">
            <v>788.83</v>
          </cell>
          <cell r="N138">
            <v>756.76</v>
          </cell>
          <cell r="O138" t="str">
            <v>3202160601010412126</v>
          </cell>
          <cell r="P138" t="str">
            <v>466210900010182260</v>
          </cell>
        </row>
        <row r="139">
          <cell r="A139" t="str">
            <v>00011580</v>
          </cell>
          <cell r="B139" t="str">
            <v>杨金忠</v>
          </cell>
          <cell r="C139" t="str">
            <v>杨金忠</v>
          </cell>
          <cell r="D139" t="str">
            <v>教授2</v>
          </cell>
          <cell r="E139" t="str">
            <v>教授</v>
          </cell>
          <cell r="F139">
            <v>5250.1</v>
          </cell>
          <cell r="G139">
            <v>0</v>
          </cell>
          <cell r="H139">
            <v>4950</v>
          </cell>
          <cell r="K139">
            <v>4950</v>
          </cell>
          <cell r="L139">
            <v>10200.1</v>
          </cell>
          <cell r="M139">
            <v>0</v>
          </cell>
          <cell r="N139">
            <v>0</v>
          </cell>
          <cell r="O139" t="str">
            <v>3202160601010415080</v>
          </cell>
          <cell r="P139" t="str">
            <v>466210901880231794</v>
          </cell>
          <cell r="Q139" t="str">
            <v>60岁以上专家</v>
          </cell>
          <cell r="S139" t="str">
            <v>60岁以上专家</v>
          </cell>
        </row>
        <row r="140">
          <cell r="A140" t="str">
            <v>00011582</v>
          </cell>
          <cell r="B140" t="str">
            <v>蔡树英</v>
          </cell>
          <cell r="C140" t="str">
            <v>蔡树英</v>
          </cell>
          <cell r="D140" t="str">
            <v>教授3</v>
          </cell>
          <cell r="E140" t="str">
            <v>教授</v>
          </cell>
          <cell r="F140">
            <v>4722.3599999999997</v>
          </cell>
          <cell r="G140">
            <v>36.67</v>
          </cell>
          <cell r="H140">
            <v>4150</v>
          </cell>
          <cell r="K140">
            <v>4150</v>
          </cell>
          <cell r="L140">
            <v>8872.36</v>
          </cell>
          <cell r="M140">
            <v>519.47</v>
          </cell>
          <cell r="N140">
            <v>482.8</v>
          </cell>
          <cell r="O140" t="str">
            <v>3202160601060525501</v>
          </cell>
          <cell r="P140" t="str">
            <v>466210901880204223</v>
          </cell>
        </row>
        <row r="141">
          <cell r="A141" t="str">
            <v>00011583</v>
          </cell>
          <cell r="B141" t="str">
            <v>邵东国</v>
          </cell>
          <cell r="C141" t="str">
            <v>邵东国</v>
          </cell>
          <cell r="D141" t="str">
            <v>教授3</v>
          </cell>
          <cell r="E141" t="str">
            <v>教授</v>
          </cell>
          <cell r="F141">
            <v>4442.8599999999997</v>
          </cell>
          <cell r="G141">
            <v>28.29</v>
          </cell>
          <cell r="H141">
            <v>4150</v>
          </cell>
          <cell r="J141">
            <v>1200</v>
          </cell>
          <cell r="K141">
            <v>6550</v>
          </cell>
          <cell r="L141">
            <v>10992.86</v>
          </cell>
          <cell r="M141">
            <v>943.57</v>
          </cell>
          <cell r="N141">
            <v>915.28000000000009</v>
          </cell>
          <cell r="O141" t="str">
            <v>3202160601010413551</v>
          </cell>
          <cell r="P141" t="str">
            <v>466210900010182309</v>
          </cell>
          <cell r="R141">
            <v>1200</v>
          </cell>
        </row>
        <row r="142">
          <cell r="A142" t="str">
            <v>00011585</v>
          </cell>
          <cell r="B142" t="str">
            <v>陈维宁</v>
          </cell>
          <cell r="C142" t="str">
            <v>陈维宁</v>
          </cell>
          <cell r="D142" t="str">
            <v>讲师10</v>
          </cell>
          <cell r="E142" t="str">
            <v>讲师</v>
          </cell>
          <cell r="F142">
            <v>2856.21</v>
          </cell>
          <cell r="G142">
            <v>0</v>
          </cell>
          <cell r="H142">
            <v>640</v>
          </cell>
          <cell r="K142">
            <v>640</v>
          </cell>
          <cell r="L142">
            <v>3496.21</v>
          </cell>
          <cell r="M142">
            <v>0</v>
          </cell>
          <cell r="N142">
            <v>0</v>
          </cell>
          <cell r="O142" t="str">
            <v>3202160601010414976</v>
          </cell>
          <cell r="P142" t="str">
            <v>466210900010182422</v>
          </cell>
          <cell r="Q142" t="str">
            <v>发一半</v>
          </cell>
        </row>
        <row r="143">
          <cell r="A143" t="str">
            <v>00011586</v>
          </cell>
          <cell r="B143" t="str">
            <v>崔远来</v>
          </cell>
          <cell r="C143" t="str">
            <v>崔远来</v>
          </cell>
          <cell r="D143" t="str">
            <v>教授3</v>
          </cell>
          <cell r="E143" t="str">
            <v>教授</v>
          </cell>
          <cell r="F143">
            <v>4413.26</v>
          </cell>
          <cell r="G143">
            <v>27.4</v>
          </cell>
          <cell r="H143">
            <v>4150</v>
          </cell>
          <cell r="K143">
            <v>4150</v>
          </cell>
          <cell r="L143">
            <v>8563.26</v>
          </cell>
          <cell r="M143">
            <v>457.65</v>
          </cell>
          <cell r="N143">
            <v>430.25</v>
          </cell>
          <cell r="O143" t="str">
            <v>3202160601010413303</v>
          </cell>
          <cell r="P143" t="str">
            <v>466210900010182406</v>
          </cell>
        </row>
        <row r="144">
          <cell r="A144" t="str">
            <v>00011587</v>
          </cell>
          <cell r="B144" t="str">
            <v>王修贵</v>
          </cell>
          <cell r="C144" t="str">
            <v>王修贵</v>
          </cell>
          <cell r="D144" t="str">
            <v>教授4</v>
          </cell>
          <cell r="E144" t="str">
            <v>教授</v>
          </cell>
          <cell r="F144">
            <v>4141.96</v>
          </cell>
          <cell r="G144">
            <v>19.260000000000002</v>
          </cell>
          <cell r="H144">
            <v>3350</v>
          </cell>
          <cell r="K144">
            <v>3350</v>
          </cell>
          <cell r="L144">
            <v>7491.96</v>
          </cell>
          <cell r="M144">
            <v>294.2</v>
          </cell>
          <cell r="N144">
            <v>274.94</v>
          </cell>
          <cell r="O144" t="str">
            <v>3202160601010415107</v>
          </cell>
          <cell r="P144" t="str">
            <v>466210901880252686</v>
          </cell>
        </row>
        <row r="145">
          <cell r="A145" t="str">
            <v>00011588</v>
          </cell>
          <cell r="B145" t="str">
            <v>罗金耀</v>
          </cell>
          <cell r="C145" t="str">
            <v>罗金耀</v>
          </cell>
          <cell r="D145" t="str">
            <v>教授3</v>
          </cell>
          <cell r="E145" t="str">
            <v>教授</v>
          </cell>
          <cell r="F145">
            <v>4668.8100000000004</v>
          </cell>
          <cell r="G145">
            <v>35.06</v>
          </cell>
          <cell r="H145">
            <v>4150</v>
          </cell>
          <cell r="K145">
            <v>4150</v>
          </cell>
          <cell r="L145">
            <v>8818.8100000000013</v>
          </cell>
          <cell r="M145">
            <v>508.76</v>
          </cell>
          <cell r="N145">
            <v>473.7</v>
          </cell>
          <cell r="O145" t="str">
            <v>3202160601010414329</v>
          </cell>
          <cell r="P145" t="str">
            <v>466210901880201100</v>
          </cell>
        </row>
        <row r="146">
          <cell r="A146" t="str">
            <v>00011590</v>
          </cell>
          <cell r="B146" t="str">
            <v>洪 林</v>
          </cell>
          <cell r="C146" t="str">
            <v>洪林</v>
          </cell>
          <cell r="D146" t="str">
            <v>教授4</v>
          </cell>
          <cell r="E146" t="str">
            <v>教授</v>
          </cell>
          <cell r="F146">
            <v>4161.96</v>
          </cell>
          <cell r="G146">
            <v>19.86</v>
          </cell>
          <cell r="H146">
            <v>3350</v>
          </cell>
          <cell r="K146">
            <v>3350</v>
          </cell>
          <cell r="L146">
            <v>7511.96</v>
          </cell>
          <cell r="M146">
            <v>296.2</v>
          </cell>
          <cell r="N146">
            <v>276.33999999999997</v>
          </cell>
          <cell r="O146" t="str">
            <v>3202160601010414728</v>
          </cell>
          <cell r="P146" t="str">
            <v>466210900010182341</v>
          </cell>
        </row>
        <row r="147">
          <cell r="A147" t="str">
            <v>00011591</v>
          </cell>
          <cell r="B147" t="str">
            <v>陈秀红</v>
          </cell>
          <cell r="C147" t="str">
            <v>陈秀红</v>
          </cell>
          <cell r="D147" t="str">
            <v>讲师9</v>
          </cell>
          <cell r="E147" t="str">
            <v>讲师</v>
          </cell>
          <cell r="F147">
            <v>2722.71</v>
          </cell>
          <cell r="G147">
            <v>0</v>
          </cell>
          <cell r="H147">
            <v>1300</v>
          </cell>
          <cell r="K147">
            <v>1300</v>
          </cell>
          <cell r="L147">
            <v>4022.71</v>
          </cell>
          <cell r="M147">
            <v>15.68</v>
          </cell>
          <cell r="N147">
            <v>15.68</v>
          </cell>
          <cell r="O147" t="str">
            <v>3202160601010649605</v>
          </cell>
          <cell r="P147" t="str">
            <v>466210900010182481</v>
          </cell>
        </row>
        <row r="148">
          <cell r="A148" t="str">
            <v>00011592</v>
          </cell>
          <cell r="B148" t="str">
            <v>邱元锋</v>
          </cell>
          <cell r="C148" t="str">
            <v>邱元锋</v>
          </cell>
          <cell r="D148" t="str">
            <v>讲师9</v>
          </cell>
          <cell r="E148" t="str">
            <v>讲师</v>
          </cell>
          <cell r="F148">
            <v>2681.99</v>
          </cell>
          <cell r="G148">
            <v>0</v>
          </cell>
          <cell r="H148">
            <v>1430</v>
          </cell>
          <cell r="K148">
            <v>1430</v>
          </cell>
          <cell r="L148">
            <v>4111.99</v>
          </cell>
          <cell r="M148">
            <v>18.36</v>
          </cell>
          <cell r="N148">
            <v>18.36</v>
          </cell>
          <cell r="O148" t="str">
            <v>3202160601010866783</v>
          </cell>
          <cell r="P148" t="str">
            <v>466210901880180456</v>
          </cell>
        </row>
        <row r="149">
          <cell r="A149" t="str">
            <v>00011593</v>
          </cell>
          <cell r="B149" t="str">
            <v>伍靖伟</v>
          </cell>
          <cell r="C149" t="str">
            <v>伍靖伟</v>
          </cell>
          <cell r="D149" t="str">
            <v>副教授7</v>
          </cell>
          <cell r="E149" t="str">
            <v>副教授</v>
          </cell>
          <cell r="F149">
            <v>3057.99</v>
          </cell>
          <cell r="G149">
            <v>0</v>
          </cell>
          <cell r="H149">
            <v>1950</v>
          </cell>
          <cell r="K149">
            <v>1950</v>
          </cell>
          <cell r="L149">
            <v>5007.99</v>
          </cell>
          <cell r="M149">
            <v>45.8</v>
          </cell>
          <cell r="N149">
            <v>45.8</v>
          </cell>
          <cell r="O149" t="str">
            <v>3202160601010820550</v>
          </cell>
          <cell r="P149" t="str">
            <v>466210900010182554</v>
          </cell>
        </row>
        <row r="150">
          <cell r="A150" t="str">
            <v>00011595</v>
          </cell>
          <cell r="B150" t="str">
            <v>唐友生</v>
          </cell>
          <cell r="C150" t="str">
            <v>唐友生</v>
          </cell>
          <cell r="D150" t="str">
            <v>助理实验师13</v>
          </cell>
          <cell r="E150" t="str">
            <v>助理实验师</v>
          </cell>
          <cell r="F150">
            <v>2521.67</v>
          </cell>
          <cell r="G150">
            <v>0</v>
          </cell>
          <cell r="H150">
            <v>1100</v>
          </cell>
          <cell r="K150">
            <v>1100</v>
          </cell>
          <cell r="L150">
            <v>3621.67</v>
          </cell>
          <cell r="M150">
            <v>3.65</v>
          </cell>
          <cell r="N150">
            <v>3.65</v>
          </cell>
          <cell r="O150" t="str">
            <v>3202160601010903631</v>
          </cell>
          <cell r="P150" t="str">
            <v>466210900010184433</v>
          </cell>
        </row>
        <row r="151">
          <cell r="A151" t="str">
            <v>00011596</v>
          </cell>
          <cell r="B151" t="str">
            <v>覃奇志</v>
          </cell>
          <cell r="C151" t="str">
            <v>覃奇志</v>
          </cell>
          <cell r="D151" t="str">
            <v>未聘技师3</v>
          </cell>
          <cell r="E151" t="str">
            <v>未聘技师</v>
          </cell>
          <cell r="F151">
            <v>2367.2199999999998</v>
          </cell>
          <cell r="G151">
            <v>0</v>
          </cell>
          <cell r="H151">
            <v>1050</v>
          </cell>
          <cell r="K151">
            <v>1050</v>
          </cell>
          <cell r="L151">
            <v>3417.22</v>
          </cell>
          <cell r="M151">
            <v>0</v>
          </cell>
          <cell r="N151">
            <v>0</v>
          </cell>
          <cell r="O151" t="str">
            <v>3202160601010413028</v>
          </cell>
          <cell r="P151" t="str">
            <v>466210900010184468</v>
          </cell>
        </row>
        <row r="152">
          <cell r="A152" t="str">
            <v>00011597</v>
          </cell>
          <cell r="B152" t="str">
            <v>穆秀英</v>
          </cell>
          <cell r="C152" t="str">
            <v>穆秀英</v>
          </cell>
          <cell r="D152" t="str">
            <v>高级工3</v>
          </cell>
          <cell r="E152" t="str">
            <v>高级工</v>
          </cell>
          <cell r="F152">
            <v>2529.29</v>
          </cell>
          <cell r="G152">
            <v>0</v>
          </cell>
          <cell r="H152">
            <v>1050</v>
          </cell>
          <cell r="K152">
            <v>1050</v>
          </cell>
          <cell r="L152">
            <v>3579.29</v>
          </cell>
          <cell r="M152">
            <v>2.38</v>
          </cell>
          <cell r="N152">
            <v>2.38</v>
          </cell>
          <cell r="O152" t="str">
            <v>3202160601010652124</v>
          </cell>
          <cell r="P152" t="str">
            <v>466210900010184441</v>
          </cell>
        </row>
        <row r="153">
          <cell r="A153" t="str">
            <v>00011600</v>
          </cell>
          <cell r="B153" t="str">
            <v>王富庆</v>
          </cell>
          <cell r="C153" t="str">
            <v>王富庆</v>
          </cell>
          <cell r="D153" t="str">
            <v>高级实验师5</v>
          </cell>
          <cell r="E153" t="str">
            <v>高级实验师</v>
          </cell>
          <cell r="F153">
            <v>3699.3599999999997</v>
          </cell>
          <cell r="G153">
            <v>5.98</v>
          </cell>
          <cell r="H153">
            <v>2300</v>
          </cell>
          <cell r="K153">
            <v>2300</v>
          </cell>
          <cell r="L153">
            <v>5999.36</v>
          </cell>
          <cell r="M153">
            <v>144.94</v>
          </cell>
          <cell r="N153">
            <v>138.96</v>
          </cell>
          <cell r="O153" t="str">
            <v>3202160601010414604</v>
          </cell>
          <cell r="P153" t="str">
            <v>466210900010184409</v>
          </cell>
        </row>
        <row r="154">
          <cell r="A154" t="str">
            <v>00011601</v>
          </cell>
          <cell r="B154" t="str">
            <v>冯晓波</v>
          </cell>
          <cell r="C154" t="str">
            <v>冯晓波</v>
          </cell>
          <cell r="D154" t="str">
            <v>讲师9</v>
          </cell>
          <cell r="E154" t="str">
            <v>讲师</v>
          </cell>
          <cell r="F154">
            <v>2702.71</v>
          </cell>
          <cell r="G154">
            <v>0</v>
          </cell>
          <cell r="H154">
            <v>1430</v>
          </cell>
          <cell r="K154">
            <v>1430</v>
          </cell>
          <cell r="L154">
            <v>4132.71</v>
          </cell>
          <cell r="M154">
            <v>18.98</v>
          </cell>
          <cell r="N154">
            <v>18.98</v>
          </cell>
          <cell r="O154" t="str">
            <v>3202160601010704035</v>
          </cell>
          <cell r="P154" t="str">
            <v>466210900010182805</v>
          </cell>
        </row>
        <row r="155">
          <cell r="A155" t="str">
            <v>00011602</v>
          </cell>
          <cell r="B155" t="str">
            <v>李长城</v>
          </cell>
          <cell r="C155" t="str">
            <v>李长城</v>
          </cell>
          <cell r="D155" t="str">
            <v>副教授6</v>
          </cell>
          <cell r="E155" t="str">
            <v>副教授</v>
          </cell>
          <cell r="F155">
            <v>3642.51</v>
          </cell>
          <cell r="G155">
            <v>4.28</v>
          </cell>
          <cell r="H155">
            <v>2100</v>
          </cell>
          <cell r="K155">
            <v>2100</v>
          </cell>
          <cell r="L155">
            <v>5742.51</v>
          </cell>
          <cell r="M155">
            <v>119.25</v>
          </cell>
          <cell r="N155">
            <v>114.97</v>
          </cell>
          <cell r="O155" t="str">
            <v>3202160601010639823</v>
          </cell>
          <cell r="P155" t="str">
            <v>466210901880221675</v>
          </cell>
        </row>
        <row r="156">
          <cell r="A156" t="str">
            <v>00011603</v>
          </cell>
          <cell r="B156" t="str">
            <v>刘川顺</v>
          </cell>
          <cell r="C156" t="str">
            <v>刘川顺</v>
          </cell>
          <cell r="D156" t="str">
            <v>教授4</v>
          </cell>
          <cell r="E156" t="str">
            <v>教授</v>
          </cell>
          <cell r="F156">
            <v>4171.5600000000004</v>
          </cell>
          <cell r="G156">
            <v>20.149999999999999</v>
          </cell>
          <cell r="H156">
            <v>3350</v>
          </cell>
          <cell r="K156">
            <v>3350</v>
          </cell>
          <cell r="L156">
            <v>7521.56</v>
          </cell>
          <cell r="M156">
            <v>297.16000000000003</v>
          </cell>
          <cell r="N156">
            <v>277.01000000000005</v>
          </cell>
          <cell r="O156" t="str">
            <v>3202160601010417310</v>
          </cell>
          <cell r="P156" t="str">
            <v>466210900010182740</v>
          </cell>
        </row>
        <row r="157">
          <cell r="A157" t="str">
            <v>00011606</v>
          </cell>
          <cell r="B157" t="str">
            <v>阮新建</v>
          </cell>
          <cell r="C157" t="str">
            <v>阮新建</v>
          </cell>
          <cell r="D157" t="str">
            <v>教授4</v>
          </cell>
          <cell r="E157" t="str">
            <v>教授</v>
          </cell>
          <cell r="F157">
            <v>4141.96</v>
          </cell>
          <cell r="G157">
            <v>19.260000000000002</v>
          </cell>
          <cell r="H157">
            <v>3350</v>
          </cell>
          <cell r="K157">
            <v>3350</v>
          </cell>
          <cell r="L157">
            <v>7491.96</v>
          </cell>
          <cell r="M157">
            <v>294.2</v>
          </cell>
          <cell r="N157">
            <v>274.94</v>
          </cell>
          <cell r="O157" t="str">
            <v>3202160601010501505</v>
          </cell>
          <cell r="P157" t="str">
            <v>466210900010182724</v>
          </cell>
        </row>
        <row r="158">
          <cell r="A158" t="str">
            <v>00011608</v>
          </cell>
          <cell r="B158" t="str">
            <v>赵荣安</v>
          </cell>
          <cell r="C158" t="str">
            <v>赵荣安</v>
          </cell>
          <cell r="D158" t="str">
            <v>实验师9</v>
          </cell>
          <cell r="E158" t="str">
            <v>实验师</v>
          </cell>
          <cell r="F158">
            <v>2924.71</v>
          </cell>
          <cell r="G158">
            <v>0</v>
          </cell>
          <cell r="H158">
            <v>1430</v>
          </cell>
          <cell r="K158">
            <v>1430</v>
          </cell>
          <cell r="L158">
            <v>4354.71</v>
          </cell>
          <cell r="M158">
            <v>25.64</v>
          </cell>
          <cell r="N158">
            <v>25.64</v>
          </cell>
          <cell r="O158" t="str">
            <v>3202160601010417159</v>
          </cell>
          <cell r="P158" t="str">
            <v>466210900010184344</v>
          </cell>
        </row>
        <row r="159">
          <cell r="A159" t="str">
            <v>00011609</v>
          </cell>
          <cell r="B159" t="str">
            <v>马有国</v>
          </cell>
          <cell r="C159" t="str">
            <v>马有国</v>
          </cell>
          <cell r="D159" t="str">
            <v>副教授5</v>
          </cell>
          <cell r="E159" t="str">
            <v>副教授</v>
          </cell>
          <cell r="F159">
            <v>3728.96</v>
          </cell>
          <cell r="G159">
            <v>6.87</v>
          </cell>
          <cell r="H159">
            <v>2300</v>
          </cell>
          <cell r="K159">
            <v>2300</v>
          </cell>
          <cell r="L159">
            <v>6028.96</v>
          </cell>
          <cell r="M159">
            <v>147.9</v>
          </cell>
          <cell r="N159">
            <v>141.03</v>
          </cell>
          <cell r="O159" t="str">
            <v>3202160601010416931</v>
          </cell>
          <cell r="P159" t="str">
            <v>466210901880221950</v>
          </cell>
        </row>
        <row r="160">
          <cell r="A160" t="str">
            <v>00011610</v>
          </cell>
          <cell r="B160" t="str">
            <v>石自堂</v>
          </cell>
          <cell r="C160" t="str">
            <v>石自堂</v>
          </cell>
          <cell r="D160" t="str">
            <v>教授4</v>
          </cell>
          <cell r="E160" t="str">
            <v>教授</v>
          </cell>
          <cell r="F160">
            <v>4268.26</v>
          </cell>
          <cell r="G160">
            <v>23.05</v>
          </cell>
          <cell r="H160">
            <v>3350</v>
          </cell>
          <cell r="K160">
            <v>3350</v>
          </cell>
          <cell r="L160">
            <v>7618.26</v>
          </cell>
          <cell r="M160">
            <v>306.83</v>
          </cell>
          <cell r="N160">
            <v>283.77999999999997</v>
          </cell>
          <cell r="O160" t="str">
            <v>3202160601010416532</v>
          </cell>
          <cell r="P160" t="str">
            <v>466210900010182627</v>
          </cell>
        </row>
        <row r="161">
          <cell r="A161" t="str">
            <v>00011611</v>
          </cell>
          <cell r="B161" t="str">
            <v>夏富洲</v>
          </cell>
          <cell r="C161" t="str">
            <v>夏富洲</v>
          </cell>
          <cell r="D161" t="str">
            <v>副教授5</v>
          </cell>
          <cell r="E161" t="str">
            <v>副教授</v>
          </cell>
          <cell r="F161">
            <v>3669.76</v>
          </cell>
          <cell r="G161">
            <v>5.09</v>
          </cell>
          <cell r="H161">
            <v>2300</v>
          </cell>
          <cell r="K161">
            <v>2300</v>
          </cell>
          <cell r="L161">
            <v>5969.76</v>
          </cell>
          <cell r="M161">
            <v>141.97999999999999</v>
          </cell>
          <cell r="N161">
            <v>136.88999999999999</v>
          </cell>
          <cell r="O161" t="str">
            <v>3202160601010416807</v>
          </cell>
          <cell r="P161" t="str">
            <v>466210900010182694</v>
          </cell>
        </row>
        <row r="162">
          <cell r="A162" t="str">
            <v>00011612</v>
          </cell>
          <cell r="B162" t="str">
            <v>田兴参</v>
          </cell>
          <cell r="C162" t="str">
            <v>田兴参</v>
          </cell>
          <cell r="D162" t="str">
            <v>副教授7</v>
          </cell>
          <cell r="E162" t="str">
            <v>副教授</v>
          </cell>
          <cell r="F162">
            <v>3277.0299999999997</v>
          </cell>
          <cell r="G162">
            <v>0</v>
          </cell>
          <cell r="H162">
            <v>1950</v>
          </cell>
          <cell r="K162">
            <v>1950</v>
          </cell>
          <cell r="L162">
            <v>5227.03</v>
          </cell>
          <cell r="M162">
            <v>67.7</v>
          </cell>
          <cell r="N162">
            <v>67.7</v>
          </cell>
          <cell r="O162" t="str">
            <v>3202160601010416780</v>
          </cell>
          <cell r="P162" t="str">
            <v>466210900010187793</v>
          </cell>
        </row>
        <row r="163">
          <cell r="A163" t="str">
            <v>00011613</v>
          </cell>
          <cell r="B163" t="str">
            <v>马军朝</v>
          </cell>
          <cell r="C163" t="str">
            <v>马军朝</v>
          </cell>
          <cell r="D163" t="str">
            <v>讲师8</v>
          </cell>
          <cell r="E163" t="str">
            <v>讲师</v>
          </cell>
          <cell r="F163">
            <v>2992.21</v>
          </cell>
          <cell r="G163">
            <v>0</v>
          </cell>
          <cell r="H163">
            <v>1580</v>
          </cell>
          <cell r="K163">
            <v>1580</v>
          </cell>
          <cell r="L163">
            <v>4572.21</v>
          </cell>
          <cell r="M163">
            <v>32.17</v>
          </cell>
          <cell r="N163">
            <v>32.17</v>
          </cell>
          <cell r="O163" t="str">
            <v>3202160601010416656</v>
          </cell>
          <cell r="P163" t="str">
            <v>466210900010182767</v>
          </cell>
        </row>
        <row r="164">
          <cell r="A164" t="str">
            <v>00011614</v>
          </cell>
          <cell r="B164" t="str">
            <v>张劲松</v>
          </cell>
          <cell r="C164" t="str">
            <v>张劲松</v>
          </cell>
          <cell r="D164" t="str">
            <v>副教授7</v>
          </cell>
          <cell r="E164" t="str">
            <v>副教授</v>
          </cell>
          <cell r="F164">
            <v>3207.97</v>
          </cell>
          <cell r="G164">
            <v>0</v>
          </cell>
          <cell r="H164">
            <v>1950</v>
          </cell>
          <cell r="K164">
            <v>1950</v>
          </cell>
          <cell r="L164">
            <v>5157.9699999999993</v>
          </cell>
          <cell r="M164">
            <v>60.8</v>
          </cell>
          <cell r="N164">
            <v>60.8</v>
          </cell>
          <cell r="O164" t="str">
            <v>3202160601010422307</v>
          </cell>
          <cell r="P164" t="str">
            <v>466210900010182783</v>
          </cell>
        </row>
        <row r="165">
          <cell r="A165" t="str">
            <v>00011615</v>
          </cell>
          <cell r="B165" t="str">
            <v>方朝阳</v>
          </cell>
          <cell r="C165" t="str">
            <v>方朝阳</v>
          </cell>
          <cell r="D165" t="str">
            <v>副教授6</v>
          </cell>
          <cell r="E165" t="str">
            <v>副教授</v>
          </cell>
          <cell r="F165">
            <v>3319.87</v>
          </cell>
          <cell r="G165">
            <v>0</v>
          </cell>
          <cell r="H165">
            <v>2100</v>
          </cell>
          <cell r="K165">
            <v>2100</v>
          </cell>
          <cell r="L165">
            <v>5419.87</v>
          </cell>
          <cell r="M165">
            <v>86.99</v>
          </cell>
          <cell r="N165">
            <v>86.99</v>
          </cell>
          <cell r="O165" t="str">
            <v>3202160601010422280</v>
          </cell>
          <cell r="P165" t="str">
            <v>466210900010182791</v>
          </cell>
        </row>
        <row r="166">
          <cell r="A166" t="str">
            <v>00011616</v>
          </cell>
          <cell r="B166" t="str">
            <v>狄 鸿</v>
          </cell>
          <cell r="C166" t="str">
            <v>狄鸿</v>
          </cell>
          <cell r="D166" t="str">
            <v>实验师9</v>
          </cell>
          <cell r="E166" t="str">
            <v>实验师</v>
          </cell>
          <cell r="F166">
            <v>2743.43</v>
          </cell>
          <cell r="G166">
            <v>0</v>
          </cell>
          <cell r="H166">
            <v>1430</v>
          </cell>
          <cell r="K166">
            <v>1430</v>
          </cell>
          <cell r="L166">
            <v>4173.43</v>
          </cell>
          <cell r="M166">
            <v>20.2</v>
          </cell>
          <cell r="N166">
            <v>20.2</v>
          </cell>
          <cell r="O166" t="str">
            <v>3202160601010378933</v>
          </cell>
          <cell r="P166" t="str">
            <v>466210900010184778</v>
          </cell>
        </row>
        <row r="167">
          <cell r="A167" t="str">
            <v>00011617</v>
          </cell>
          <cell r="B167" t="str">
            <v>张利平</v>
          </cell>
          <cell r="C167" t="str">
            <v>张利平</v>
          </cell>
          <cell r="D167" t="str">
            <v>教授4</v>
          </cell>
          <cell r="E167" t="str">
            <v>教授</v>
          </cell>
          <cell r="F167">
            <v>3845.9700000000003</v>
          </cell>
          <cell r="G167">
            <v>10.38</v>
          </cell>
          <cell r="H167">
            <v>3350</v>
          </cell>
          <cell r="K167">
            <v>3350</v>
          </cell>
          <cell r="L167">
            <v>7195.97</v>
          </cell>
          <cell r="M167">
            <v>264.60000000000002</v>
          </cell>
          <cell r="N167">
            <v>254.22000000000003</v>
          </cell>
          <cell r="O167" t="str">
            <v>3202160601010638770</v>
          </cell>
          <cell r="P167" t="str">
            <v>466210900010182716</v>
          </cell>
        </row>
        <row r="168">
          <cell r="A168" t="str">
            <v>00011618</v>
          </cell>
          <cell r="B168" t="str">
            <v>熊立华</v>
          </cell>
          <cell r="C168" t="str">
            <v>熊立华</v>
          </cell>
          <cell r="D168" t="str">
            <v>教授3</v>
          </cell>
          <cell r="E168" t="str">
            <v>教授</v>
          </cell>
          <cell r="F168">
            <v>4283.03</v>
          </cell>
          <cell r="G168">
            <v>23.49</v>
          </cell>
          <cell r="H168">
            <v>7500</v>
          </cell>
          <cell r="I168" t="str">
            <v>珞特</v>
          </cell>
          <cell r="J168">
            <v>1200</v>
          </cell>
          <cell r="K168">
            <v>9900</v>
          </cell>
          <cell r="L168">
            <v>14183.029999999999</v>
          </cell>
          <cell r="M168">
            <v>1665.76</v>
          </cell>
          <cell r="N168">
            <v>1642.27</v>
          </cell>
          <cell r="O168" t="str">
            <v>3202160601010629642</v>
          </cell>
          <cell r="P168" t="str">
            <v>466210900010182732</v>
          </cell>
          <cell r="R168">
            <v>1200</v>
          </cell>
          <cell r="S168" t="str">
            <v>珞珈特聘</v>
          </cell>
        </row>
        <row r="169">
          <cell r="A169" t="str">
            <v>00011619</v>
          </cell>
          <cell r="B169" t="str">
            <v>夏 军</v>
          </cell>
          <cell r="C169" t="str">
            <v>夏军</v>
          </cell>
          <cell r="D169" t="str">
            <v>教授2</v>
          </cell>
          <cell r="E169" t="str">
            <v>教授</v>
          </cell>
          <cell r="F169">
            <v>5250.1</v>
          </cell>
          <cell r="G169">
            <v>70.010000000000005</v>
          </cell>
          <cell r="H169">
            <v>7500</v>
          </cell>
          <cell r="I169" t="str">
            <v>武特</v>
          </cell>
          <cell r="K169">
            <v>7500</v>
          </cell>
          <cell r="L169">
            <v>12750.1</v>
          </cell>
          <cell r="M169">
            <v>1307.53</v>
          </cell>
          <cell r="N169">
            <v>1237.52</v>
          </cell>
          <cell r="O169" t="str">
            <v>3202160601065200215</v>
          </cell>
          <cell r="Q169" t="str">
            <v>特聘教授</v>
          </cell>
          <cell r="S169" t="str">
            <v>特聘教授</v>
          </cell>
        </row>
        <row r="170">
          <cell r="A170" t="str">
            <v>00011622</v>
          </cell>
          <cell r="B170" t="str">
            <v>宋星原</v>
          </cell>
          <cell r="C170" t="str">
            <v>宋星原</v>
          </cell>
          <cell r="D170" t="str">
            <v>教授3</v>
          </cell>
          <cell r="E170" t="str">
            <v>教授</v>
          </cell>
          <cell r="F170">
            <v>4738.8599999999997</v>
          </cell>
          <cell r="G170">
            <v>37.17</v>
          </cell>
          <cell r="H170">
            <v>4150</v>
          </cell>
          <cell r="K170">
            <v>4150</v>
          </cell>
          <cell r="L170">
            <v>8888.86</v>
          </cell>
          <cell r="M170">
            <v>522.77</v>
          </cell>
          <cell r="N170">
            <v>485.59999999999997</v>
          </cell>
          <cell r="O170" t="str">
            <v>3202160601062355994</v>
          </cell>
          <cell r="P170" t="str">
            <v>466210900010182414</v>
          </cell>
        </row>
        <row r="171">
          <cell r="A171" t="str">
            <v>00011625</v>
          </cell>
          <cell r="B171" t="str">
            <v>李 兰</v>
          </cell>
          <cell r="C171" t="str">
            <v>李兰</v>
          </cell>
          <cell r="D171" t="str">
            <v>教授3</v>
          </cell>
          <cell r="E171" t="str">
            <v>教授</v>
          </cell>
          <cell r="F171">
            <v>4688.8100000000004</v>
          </cell>
          <cell r="G171">
            <v>35.659999999999997</v>
          </cell>
          <cell r="H171">
            <v>4150</v>
          </cell>
          <cell r="K171">
            <v>4150</v>
          </cell>
          <cell r="L171">
            <v>8838.8100000000013</v>
          </cell>
          <cell r="M171">
            <v>512.76</v>
          </cell>
          <cell r="N171">
            <v>477.1</v>
          </cell>
          <cell r="O171" t="str">
            <v>3202160601010621229</v>
          </cell>
          <cell r="P171" t="str">
            <v>466210900010182619</v>
          </cell>
        </row>
        <row r="172">
          <cell r="A172" t="str">
            <v>00011627</v>
          </cell>
          <cell r="B172" t="str">
            <v>谢 平</v>
          </cell>
          <cell r="C172" t="str">
            <v>谢平</v>
          </cell>
          <cell r="D172" t="str">
            <v>教授4</v>
          </cell>
          <cell r="E172" t="str">
            <v>教授</v>
          </cell>
          <cell r="F172">
            <v>4201.16</v>
          </cell>
          <cell r="G172">
            <v>21.03</v>
          </cell>
          <cell r="H172">
            <v>3350</v>
          </cell>
          <cell r="K172">
            <v>3350</v>
          </cell>
          <cell r="L172">
            <v>7551.16</v>
          </cell>
          <cell r="M172">
            <v>300.12</v>
          </cell>
          <cell r="N172">
            <v>279.09000000000003</v>
          </cell>
          <cell r="O172" t="str">
            <v>3202160601010428641</v>
          </cell>
          <cell r="P172" t="str">
            <v>466210900010182635</v>
          </cell>
        </row>
        <row r="173">
          <cell r="A173" t="str">
            <v>00011629</v>
          </cell>
          <cell r="B173" t="str">
            <v>许建明</v>
          </cell>
          <cell r="C173" t="str">
            <v>许建民</v>
          </cell>
          <cell r="D173" t="str">
            <v>实验师9</v>
          </cell>
          <cell r="E173" t="str">
            <v>实验师</v>
          </cell>
          <cell r="F173">
            <v>2853.67</v>
          </cell>
          <cell r="G173">
            <v>0</v>
          </cell>
          <cell r="H173">
            <v>1430</v>
          </cell>
          <cell r="K173">
            <v>1430</v>
          </cell>
          <cell r="L173">
            <v>4283.67</v>
          </cell>
          <cell r="M173">
            <v>23.51</v>
          </cell>
          <cell r="N173">
            <v>23.51</v>
          </cell>
          <cell r="O173" t="str">
            <v>3202160601010428366</v>
          </cell>
          <cell r="P173" t="str">
            <v>466210900010184190</v>
          </cell>
        </row>
        <row r="174">
          <cell r="A174" t="str">
            <v>00011630</v>
          </cell>
          <cell r="B174" t="str">
            <v>肖益民</v>
          </cell>
          <cell r="C174" t="str">
            <v>肖益民</v>
          </cell>
          <cell r="D174" t="str">
            <v>副教授6</v>
          </cell>
          <cell r="E174" t="str">
            <v>副教授</v>
          </cell>
          <cell r="F174">
            <v>3459.26</v>
          </cell>
          <cell r="G174">
            <v>0</v>
          </cell>
          <cell r="H174">
            <v>2100</v>
          </cell>
          <cell r="K174">
            <v>2100</v>
          </cell>
          <cell r="L174">
            <v>5559.26</v>
          </cell>
          <cell r="M174">
            <v>100.93</v>
          </cell>
          <cell r="N174">
            <v>100.93</v>
          </cell>
          <cell r="O174" t="str">
            <v>3202160601010427863</v>
          </cell>
          <cell r="P174" t="str">
            <v>466210900010206712</v>
          </cell>
        </row>
        <row r="175">
          <cell r="A175" t="str">
            <v>00011631</v>
          </cell>
          <cell r="B175" t="str">
            <v>彭 虹</v>
          </cell>
          <cell r="C175" t="str">
            <v>彭虹</v>
          </cell>
          <cell r="D175" t="str">
            <v>副教授6</v>
          </cell>
          <cell r="E175" t="str">
            <v>副教授</v>
          </cell>
          <cell r="F175">
            <v>3339.87</v>
          </cell>
          <cell r="G175">
            <v>0</v>
          </cell>
          <cell r="H175">
            <v>2100</v>
          </cell>
          <cell r="K175">
            <v>2100</v>
          </cell>
          <cell r="L175">
            <v>5439.87</v>
          </cell>
          <cell r="M175">
            <v>88.99</v>
          </cell>
          <cell r="N175">
            <v>88.99</v>
          </cell>
          <cell r="O175" t="str">
            <v>3202160601010641289</v>
          </cell>
          <cell r="P175" t="str">
            <v>466210901880251345</v>
          </cell>
        </row>
        <row r="176">
          <cell r="A176" t="str">
            <v>00011632</v>
          </cell>
          <cell r="B176" t="str">
            <v>张 翔SL</v>
          </cell>
          <cell r="C176" t="str">
            <v>张翔</v>
          </cell>
          <cell r="D176" t="str">
            <v>教授4</v>
          </cell>
          <cell r="E176" t="str">
            <v>教授</v>
          </cell>
          <cell r="F176">
            <v>3958.45</v>
          </cell>
          <cell r="G176">
            <v>13.75</v>
          </cell>
          <cell r="H176">
            <v>3350</v>
          </cell>
          <cell r="K176">
            <v>3350</v>
          </cell>
          <cell r="L176">
            <v>7308.45</v>
          </cell>
          <cell r="M176">
            <v>275.85000000000002</v>
          </cell>
          <cell r="N176">
            <v>262.10000000000002</v>
          </cell>
          <cell r="O176" t="str">
            <v>3202160601010645447</v>
          </cell>
          <cell r="P176" t="str">
            <v>466210900010182686</v>
          </cell>
        </row>
        <row r="177">
          <cell r="A177" t="str">
            <v>00011634</v>
          </cell>
          <cell r="B177" t="str">
            <v>姚小明</v>
          </cell>
          <cell r="C177" t="str">
            <v>姚晓明</v>
          </cell>
          <cell r="D177" t="str">
            <v>实验师8</v>
          </cell>
          <cell r="E177" t="str">
            <v>实验师</v>
          </cell>
          <cell r="F177">
            <v>2992.21</v>
          </cell>
          <cell r="G177">
            <v>0</v>
          </cell>
          <cell r="H177">
            <v>1580</v>
          </cell>
          <cell r="K177">
            <v>1580</v>
          </cell>
          <cell r="L177">
            <v>4572.21</v>
          </cell>
          <cell r="M177">
            <v>32.17</v>
          </cell>
          <cell r="N177">
            <v>32.17</v>
          </cell>
          <cell r="O177" t="str">
            <v>3202160601011267852</v>
          </cell>
          <cell r="P177" t="str">
            <v>466210900010184549</v>
          </cell>
        </row>
        <row r="178">
          <cell r="A178" t="str">
            <v>00011635</v>
          </cell>
          <cell r="B178" t="str">
            <v>谈广鸣</v>
          </cell>
          <cell r="C178" t="str">
            <v>谈广鸣</v>
          </cell>
          <cell r="D178" t="str">
            <v>教授2</v>
          </cell>
          <cell r="E178" t="str">
            <v>教授</v>
          </cell>
          <cell r="F178">
            <v>4857.91</v>
          </cell>
          <cell r="G178">
            <v>40.74</v>
          </cell>
          <cell r="H178">
            <v>2500</v>
          </cell>
          <cell r="J178">
            <v>2000</v>
          </cell>
          <cell r="K178">
            <v>6500</v>
          </cell>
          <cell r="L178">
            <v>11357.91</v>
          </cell>
          <cell r="M178">
            <v>1016.58</v>
          </cell>
          <cell r="N178">
            <v>975.84</v>
          </cell>
          <cell r="O178" t="str">
            <v>3202160601010424483</v>
          </cell>
          <cell r="P178" t="str">
            <v>466210900010182945</v>
          </cell>
          <cell r="Q178" t="str">
            <v>每月2500</v>
          </cell>
          <cell r="R178">
            <v>2000</v>
          </cell>
        </row>
        <row r="179">
          <cell r="A179" t="str">
            <v>00011636</v>
          </cell>
          <cell r="B179" t="str">
            <v>熊治平</v>
          </cell>
          <cell r="C179" t="str">
            <v>熊治平</v>
          </cell>
          <cell r="D179" t="str">
            <v>副教授5</v>
          </cell>
          <cell r="E179" t="str">
            <v>副教授</v>
          </cell>
          <cell r="F179">
            <v>3858.21</v>
          </cell>
          <cell r="G179">
            <v>10.75</v>
          </cell>
          <cell r="H179">
            <v>2300</v>
          </cell>
          <cell r="K179">
            <v>2300</v>
          </cell>
          <cell r="L179">
            <v>6158.21</v>
          </cell>
          <cell r="M179">
            <v>160.82</v>
          </cell>
          <cell r="N179">
            <v>150.07</v>
          </cell>
          <cell r="O179" t="str">
            <v>3202160601010423980</v>
          </cell>
          <cell r="P179" t="str">
            <v>466210900010182457</v>
          </cell>
        </row>
        <row r="180">
          <cell r="A180" t="str">
            <v>00011637</v>
          </cell>
          <cell r="B180" t="str">
            <v>陈 立</v>
          </cell>
          <cell r="C180" t="str">
            <v>陈立</v>
          </cell>
          <cell r="D180" t="str">
            <v>教授3</v>
          </cell>
          <cell r="E180" t="str">
            <v>教授</v>
          </cell>
          <cell r="F180">
            <v>4535.6099999999997</v>
          </cell>
          <cell r="G180">
            <v>31.07</v>
          </cell>
          <cell r="H180">
            <v>4150</v>
          </cell>
          <cell r="J180">
            <v>1200</v>
          </cell>
          <cell r="K180">
            <v>5350</v>
          </cell>
          <cell r="L180">
            <v>9885.61</v>
          </cell>
          <cell r="M180">
            <v>722.12</v>
          </cell>
          <cell r="N180">
            <v>691.05</v>
          </cell>
          <cell r="O180" t="str">
            <v>3202160601010424758</v>
          </cell>
          <cell r="P180" t="str">
            <v>466210900010182244</v>
          </cell>
          <cell r="Q180" t="str">
            <v>实验室津贴</v>
          </cell>
        </row>
        <row r="181">
          <cell r="A181" t="str">
            <v>00011639</v>
          </cell>
          <cell r="B181" t="str">
            <v>雒 征</v>
          </cell>
          <cell r="C181" t="str">
            <v>雒征</v>
          </cell>
          <cell r="D181" t="str">
            <v>实验师8</v>
          </cell>
          <cell r="E181" t="str">
            <v>实验师</v>
          </cell>
          <cell r="F181">
            <v>2941.17</v>
          </cell>
          <cell r="G181">
            <v>0</v>
          </cell>
          <cell r="H181">
            <v>1580</v>
          </cell>
          <cell r="K181">
            <v>1580</v>
          </cell>
          <cell r="L181">
            <v>4521.17</v>
          </cell>
          <cell r="M181">
            <v>30.64</v>
          </cell>
          <cell r="N181">
            <v>30.64</v>
          </cell>
          <cell r="O181" t="str">
            <v>3202160601010424510</v>
          </cell>
          <cell r="P181" t="str">
            <v>466210900010183097</v>
          </cell>
        </row>
        <row r="182">
          <cell r="A182" t="str">
            <v>00011643</v>
          </cell>
          <cell r="B182" t="str">
            <v>李白鸣</v>
          </cell>
          <cell r="C182" t="str">
            <v>李白鸣</v>
          </cell>
          <cell r="D182" t="str">
            <v>实验师8</v>
          </cell>
          <cell r="E182" t="str">
            <v>实验师</v>
          </cell>
          <cell r="F182">
            <v>3070.16</v>
          </cell>
          <cell r="G182">
            <v>0</v>
          </cell>
          <cell r="H182">
            <v>1580</v>
          </cell>
          <cell r="K182">
            <v>1580</v>
          </cell>
          <cell r="L182">
            <v>4650.16</v>
          </cell>
          <cell r="M182">
            <v>34.5</v>
          </cell>
          <cell r="N182">
            <v>34.5</v>
          </cell>
          <cell r="O182" t="str">
            <v>3202160601060040267</v>
          </cell>
          <cell r="P182" t="str">
            <v>466210900010184891</v>
          </cell>
        </row>
        <row r="183">
          <cell r="A183" t="str">
            <v>00011645</v>
          </cell>
          <cell r="B183" t="str">
            <v>李旺兴</v>
          </cell>
          <cell r="C183" t="str">
            <v>李旺兴</v>
          </cell>
          <cell r="D183" t="str">
            <v>高级实验师6</v>
          </cell>
          <cell r="E183" t="str">
            <v>高级实验师</v>
          </cell>
          <cell r="F183">
            <v>3389.9300000000003</v>
          </cell>
          <cell r="G183">
            <v>0</v>
          </cell>
          <cell r="H183">
            <v>2100</v>
          </cell>
          <cell r="K183">
            <v>2100</v>
          </cell>
          <cell r="L183">
            <v>5489.93</v>
          </cell>
          <cell r="M183">
            <v>93.99</v>
          </cell>
          <cell r="N183">
            <v>93.99</v>
          </cell>
          <cell r="O183" t="str">
            <v>3202160601010423856</v>
          </cell>
          <cell r="P183" t="str">
            <v>466210900010184514</v>
          </cell>
        </row>
        <row r="184">
          <cell r="A184" t="str">
            <v>00011646</v>
          </cell>
          <cell r="B184" t="str">
            <v>张小峰</v>
          </cell>
          <cell r="C184" t="str">
            <v>张小峰</v>
          </cell>
          <cell r="D184" t="str">
            <v>教授3</v>
          </cell>
          <cell r="E184" t="str">
            <v>教授</v>
          </cell>
          <cell r="F184">
            <v>4635.26</v>
          </cell>
          <cell r="G184">
            <v>34.06</v>
          </cell>
          <cell r="H184">
            <v>4150</v>
          </cell>
          <cell r="K184">
            <v>4150</v>
          </cell>
          <cell r="L184">
            <v>8785.26</v>
          </cell>
          <cell r="M184">
            <v>502.05</v>
          </cell>
          <cell r="N184">
            <v>467.99</v>
          </cell>
          <cell r="O184" t="str">
            <v>3202160601010424634</v>
          </cell>
          <cell r="P184" t="str">
            <v>466210900010182295</v>
          </cell>
        </row>
        <row r="185">
          <cell r="A185" t="str">
            <v>00011647</v>
          </cell>
          <cell r="B185" t="str">
            <v>李义天</v>
          </cell>
          <cell r="C185" t="str">
            <v>李义天</v>
          </cell>
          <cell r="D185" t="str">
            <v>教授2</v>
          </cell>
          <cell r="E185" t="str">
            <v>教授</v>
          </cell>
          <cell r="F185">
            <v>5098.66</v>
          </cell>
          <cell r="G185">
            <v>54.87</v>
          </cell>
          <cell r="H185">
            <v>9950</v>
          </cell>
          <cell r="K185">
            <v>9950</v>
          </cell>
          <cell r="L185">
            <v>15048.66</v>
          </cell>
          <cell r="M185">
            <v>1882.17</v>
          </cell>
          <cell r="N185">
            <v>1827.3000000000002</v>
          </cell>
          <cell r="O185" t="str">
            <v>3202160601010429144</v>
          </cell>
          <cell r="P185" t="str">
            <v>466210900010182953</v>
          </cell>
          <cell r="Q185" t="str">
            <v>每月5000</v>
          </cell>
        </row>
        <row r="186">
          <cell r="A186" t="str">
            <v>00011650</v>
          </cell>
          <cell r="B186" t="str">
            <v>吴卫民</v>
          </cell>
          <cell r="C186" t="str">
            <v>吴卫民</v>
          </cell>
          <cell r="D186" t="str">
            <v>副教授5</v>
          </cell>
          <cell r="E186" t="str">
            <v>副教授</v>
          </cell>
          <cell r="F186">
            <v>3792.1099999999997</v>
          </cell>
          <cell r="G186">
            <v>8.76</v>
          </cell>
          <cell r="H186">
            <v>2300</v>
          </cell>
          <cell r="K186">
            <v>2300</v>
          </cell>
          <cell r="L186">
            <v>6092.11</v>
          </cell>
          <cell r="M186">
            <v>154.21</v>
          </cell>
          <cell r="N186">
            <v>145.45000000000002</v>
          </cell>
          <cell r="O186" t="str">
            <v>3202160601010429392</v>
          </cell>
          <cell r="P186" t="str">
            <v>466210900010182546</v>
          </cell>
        </row>
        <row r="187">
          <cell r="A187" t="str">
            <v>00011651</v>
          </cell>
          <cell r="B187" t="str">
            <v>韦直林</v>
          </cell>
          <cell r="C187" t="str">
            <v>韦直林</v>
          </cell>
          <cell r="D187" t="str">
            <v>教授3</v>
          </cell>
          <cell r="E187" t="str">
            <v>教授</v>
          </cell>
          <cell r="F187">
            <v>4702.3599999999997</v>
          </cell>
          <cell r="G187">
            <v>36.07</v>
          </cell>
          <cell r="H187">
            <v>4150</v>
          </cell>
          <cell r="K187">
            <v>4150</v>
          </cell>
          <cell r="L187">
            <v>8852.36</v>
          </cell>
          <cell r="M187">
            <v>515.47</v>
          </cell>
          <cell r="N187">
            <v>479.40000000000003</v>
          </cell>
          <cell r="O187" t="str">
            <v>3202160601010428916</v>
          </cell>
          <cell r="P187" t="str">
            <v>466210900010182392</v>
          </cell>
        </row>
        <row r="188">
          <cell r="A188" t="str">
            <v>00011652</v>
          </cell>
          <cell r="B188" t="str">
            <v>王 丹</v>
          </cell>
          <cell r="C188" t="str">
            <v>王丹</v>
          </cell>
          <cell r="D188" t="str">
            <v>实验师8</v>
          </cell>
          <cell r="E188" t="str">
            <v>实验师</v>
          </cell>
          <cell r="F188">
            <v>2941.17</v>
          </cell>
          <cell r="G188">
            <v>0</v>
          </cell>
          <cell r="H188">
            <v>1580</v>
          </cell>
          <cell r="K188">
            <v>1580</v>
          </cell>
          <cell r="L188">
            <v>4521.17</v>
          </cell>
          <cell r="M188">
            <v>30.64</v>
          </cell>
          <cell r="N188">
            <v>30.64</v>
          </cell>
          <cell r="O188" t="str">
            <v>3202160601010642218</v>
          </cell>
          <cell r="P188" t="str">
            <v>466210900010184522</v>
          </cell>
        </row>
        <row r="189">
          <cell r="A189" t="str">
            <v>00011653</v>
          </cell>
          <cell r="B189" t="str">
            <v>余明辉</v>
          </cell>
          <cell r="C189" t="str">
            <v>余明辉</v>
          </cell>
          <cell r="D189" t="str">
            <v>教授4</v>
          </cell>
          <cell r="E189" t="str">
            <v>教授</v>
          </cell>
          <cell r="F189">
            <v>3954.7700000000004</v>
          </cell>
          <cell r="G189">
            <v>13.64</v>
          </cell>
          <cell r="H189">
            <v>3350</v>
          </cell>
          <cell r="K189">
            <v>3350</v>
          </cell>
          <cell r="L189">
            <v>7304.77</v>
          </cell>
          <cell r="M189">
            <v>275.48</v>
          </cell>
          <cell r="N189">
            <v>261.84000000000003</v>
          </cell>
          <cell r="O189" t="str">
            <v>3202160601010705061</v>
          </cell>
          <cell r="P189" t="str">
            <v>466210900010182880</v>
          </cell>
        </row>
        <row r="190">
          <cell r="A190" t="str">
            <v>00011655</v>
          </cell>
          <cell r="B190" t="str">
            <v>李可可</v>
          </cell>
          <cell r="C190" t="str">
            <v>李可可</v>
          </cell>
          <cell r="D190" t="str">
            <v>教授4</v>
          </cell>
          <cell r="E190" t="str">
            <v>教授</v>
          </cell>
          <cell r="F190">
            <v>4132.3599999999997</v>
          </cell>
          <cell r="G190">
            <v>18.97</v>
          </cell>
          <cell r="H190">
            <v>3350</v>
          </cell>
          <cell r="K190">
            <v>3350</v>
          </cell>
          <cell r="L190">
            <v>7482.36</v>
          </cell>
          <cell r="M190">
            <v>293.24</v>
          </cell>
          <cell r="N190">
            <v>274.27</v>
          </cell>
          <cell r="O190" t="str">
            <v>3202160601010382230</v>
          </cell>
          <cell r="P190" t="str">
            <v>466210900010182899</v>
          </cell>
          <cell r="Q190" t="str">
            <v>2013年3月出国，不停岗贴</v>
          </cell>
        </row>
        <row r="191">
          <cell r="A191" t="str">
            <v>00011656</v>
          </cell>
          <cell r="B191" t="str">
            <v>梁 利</v>
          </cell>
          <cell r="C191" t="str">
            <v>梁利</v>
          </cell>
          <cell r="D191" t="str">
            <v>讲师9</v>
          </cell>
          <cell r="E191" t="str">
            <v>讲师</v>
          </cell>
          <cell r="F191">
            <v>2764.15</v>
          </cell>
          <cell r="G191">
            <v>0</v>
          </cell>
          <cell r="H191">
            <v>1430</v>
          </cell>
          <cell r="K191">
            <v>1430</v>
          </cell>
          <cell r="L191">
            <v>4194.1499999999996</v>
          </cell>
          <cell r="M191">
            <v>20.82</v>
          </cell>
          <cell r="N191">
            <v>20.82</v>
          </cell>
          <cell r="O191" t="str">
            <v>3202160601010618284</v>
          </cell>
          <cell r="P191" t="str">
            <v>466210900010182910</v>
          </cell>
        </row>
        <row r="192">
          <cell r="A192" t="str">
            <v>00011657</v>
          </cell>
          <cell r="B192" t="str">
            <v>王 红</v>
          </cell>
          <cell r="C192" t="str">
            <v>王红</v>
          </cell>
          <cell r="D192" t="str">
            <v>讲师9</v>
          </cell>
          <cell r="E192" t="str">
            <v>讲师</v>
          </cell>
          <cell r="F192">
            <v>2806.57</v>
          </cell>
          <cell r="G192">
            <v>0</v>
          </cell>
          <cell r="H192">
            <v>1430</v>
          </cell>
          <cell r="K192">
            <v>1430</v>
          </cell>
          <cell r="L192">
            <v>4236.57</v>
          </cell>
          <cell r="M192">
            <v>22.1</v>
          </cell>
          <cell r="N192">
            <v>22.1</v>
          </cell>
          <cell r="O192" t="str">
            <v>3202160601010636966</v>
          </cell>
          <cell r="P192" t="str">
            <v>466210900010182961</v>
          </cell>
        </row>
        <row r="193">
          <cell r="A193" t="str">
            <v>00011660</v>
          </cell>
          <cell r="B193" t="str">
            <v>李建雄</v>
          </cell>
          <cell r="C193" t="str">
            <v>李建雄</v>
          </cell>
          <cell r="D193" t="str">
            <v>五级</v>
          </cell>
          <cell r="E193" t="str">
            <v>五级</v>
          </cell>
          <cell r="F193">
            <v>3983.46</v>
          </cell>
          <cell r="G193">
            <v>14.5</v>
          </cell>
          <cell r="H193">
            <v>2900</v>
          </cell>
          <cell r="J193">
            <v>1200</v>
          </cell>
          <cell r="K193">
            <v>4100</v>
          </cell>
          <cell r="L193">
            <v>8083.46</v>
          </cell>
          <cell r="M193">
            <v>361.69</v>
          </cell>
          <cell r="N193">
            <v>347.19</v>
          </cell>
          <cell r="O193" t="str">
            <v>3202160601010422431</v>
          </cell>
          <cell r="P193" t="str">
            <v>466210901880303272</v>
          </cell>
        </row>
        <row r="194">
          <cell r="A194" t="str">
            <v>00011661</v>
          </cell>
          <cell r="B194" t="str">
            <v>蔡映红</v>
          </cell>
          <cell r="C194" t="str">
            <v>蔡映红</v>
          </cell>
          <cell r="D194" t="str">
            <v>七级</v>
          </cell>
          <cell r="E194" t="str">
            <v>七级</v>
          </cell>
          <cell r="F194">
            <v>2967.81</v>
          </cell>
          <cell r="G194">
            <v>0</v>
          </cell>
          <cell r="H194">
            <v>1430</v>
          </cell>
          <cell r="J194">
            <v>600</v>
          </cell>
          <cell r="K194">
            <v>2030</v>
          </cell>
          <cell r="L194">
            <v>4997.8099999999995</v>
          </cell>
          <cell r="M194">
            <v>44.93</v>
          </cell>
          <cell r="N194">
            <v>44.93</v>
          </cell>
          <cell r="O194" t="str">
            <v>3202160601010422954</v>
          </cell>
          <cell r="P194" t="str">
            <v>466210900010183348</v>
          </cell>
          <cell r="Q194" t="str">
            <v>七级六年</v>
          </cell>
        </row>
        <row r="195">
          <cell r="A195" t="str">
            <v>00011662</v>
          </cell>
          <cell r="B195" t="str">
            <v>吴运卿</v>
          </cell>
          <cell r="C195" t="str">
            <v>吴运卿</v>
          </cell>
          <cell r="D195" t="str">
            <v>五级</v>
          </cell>
          <cell r="E195" t="str">
            <v>五级</v>
          </cell>
          <cell r="F195">
            <v>3697.8199999999997</v>
          </cell>
          <cell r="G195">
            <v>5.93</v>
          </cell>
          <cell r="H195">
            <v>2900</v>
          </cell>
          <cell r="J195">
            <v>1200</v>
          </cell>
          <cell r="K195">
            <v>7100</v>
          </cell>
          <cell r="L195">
            <v>10797.82</v>
          </cell>
          <cell r="M195">
            <v>904.56</v>
          </cell>
          <cell r="N195">
            <v>898.63</v>
          </cell>
          <cell r="O195" t="str">
            <v>3202160601064391342</v>
          </cell>
          <cell r="P195" t="str">
            <v>466210901880245035</v>
          </cell>
          <cell r="R195">
            <v>3000</v>
          </cell>
          <cell r="S195" t="str">
            <v>之前补差</v>
          </cell>
        </row>
        <row r="196">
          <cell r="A196" t="str">
            <v>00011666</v>
          </cell>
          <cell r="B196" t="str">
            <v>龙元英</v>
          </cell>
          <cell r="C196" t="str">
            <v>龙元英</v>
          </cell>
          <cell r="D196" t="str">
            <v>七级</v>
          </cell>
          <cell r="E196" t="str">
            <v>七级</v>
          </cell>
          <cell r="F196">
            <v>3013.37</v>
          </cell>
          <cell r="G196">
            <v>0</v>
          </cell>
          <cell r="H196">
            <v>1680</v>
          </cell>
          <cell r="J196">
            <v>800</v>
          </cell>
          <cell r="K196">
            <v>4780</v>
          </cell>
          <cell r="L196">
            <v>7793.37</v>
          </cell>
          <cell r="M196">
            <v>324.33999999999997</v>
          </cell>
          <cell r="N196">
            <v>324.33999999999997</v>
          </cell>
          <cell r="O196" t="str">
            <v>3202160601010643244</v>
          </cell>
          <cell r="P196" t="str">
            <v>466210900010183305</v>
          </cell>
          <cell r="R196">
            <v>2300</v>
          </cell>
          <cell r="S196" t="str">
            <v>4月的行政补贴补发及201201开始的100补发</v>
          </cell>
        </row>
        <row r="197">
          <cell r="A197" t="str">
            <v>00011667</v>
          </cell>
          <cell r="B197" t="str">
            <v>钱小玉</v>
          </cell>
          <cell r="C197" t="str">
            <v>钱小玉</v>
          </cell>
          <cell r="D197" t="str">
            <v>实验师9</v>
          </cell>
          <cell r="E197" t="str">
            <v>实验师</v>
          </cell>
          <cell r="F197">
            <v>2873.67</v>
          </cell>
          <cell r="G197">
            <v>0</v>
          </cell>
          <cell r="H197">
            <v>1430</v>
          </cell>
          <cell r="K197">
            <v>1430</v>
          </cell>
          <cell r="L197">
            <v>4303.67</v>
          </cell>
          <cell r="M197">
            <v>24.11</v>
          </cell>
          <cell r="N197">
            <v>24.11</v>
          </cell>
          <cell r="O197" t="str">
            <v>3202160601010646349</v>
          </cell>
          <cell r="P197" t="str">
            <v>466210901880220687</v>
          </cell>
        </row>
        <row r="198">
          <cell r="A198" t="str">
            <v>00011669</v>
          </cell>
          <cell r="B198" t="str">
            <v>付 湘</v>
          </cell>
          <cell r="C198" t="str">
            <v>付湘</v>
          </cell>
          <cell r="D198" t="str">
            <v>教授4</v>
          </cell>
          <cell r="E198" t="str">
            <v>教授</v>
          </cell>
          <cell r="F198">
            <v>3910.37</v>
          </cell>
          <cell r="G198">
            <v>12.31</v>
          </cell>
          <cell r="H198">
            <v>3350</v>
          </cell>
          <cell r="K198">
            <v>3350</v>
          </cell>
          <cell r="L198">
            <v>7260.37</v>
          </cell>
          <cell r="M198">
            <v>271.04000000000002</v>
          </cell>
          <cell r="N198">
            <v>258.73</v>
          </cell>
          <cell r="O198" t="str">
            <v>3202160601010705460</v>
          </cell>
          <cell r="P198" t="str">
            <v>466210900010183755</v>
          </cell>
        </row>
        <row r="199">
          <cell r="A199" t="str">
            <v>00011670</v>
          </cell>
          <cell r="B199" t="str">
            <v>王 放</v>
          </cell>
          <cell r="C199" t="str">
            <v>王放</v>
          </cell>
          <cell r="D199" t="str">
            <v>七级</v>
          </cell>
          <cell r="E199" t="str">
            <v>七级</v>
          </cell>
          <cell r="F199">
            <v>2900.81</v>
          </cell>
          <cell r="G199">
            <v>0</v>
          </cell>
          <cell r="H199">
            <v>1430</v>
          </cell>
          <cell r="J199">
            <v>600</v>
          </cell>
          <cell r="K199">
            <v>2630</v>
          </cell>
          <cell r="L199">
            <v>5530.8099999999995</v>
          </cell>
          <cell r="M199">
            <v>98.08</v>
          </cell>
          <cell r="N199">
            <v>98.08</v>
          </cell>
          <cell r="O199" t="str">
            <v>3202160601010442367</v>
          </cell>
          <cell r="P199" t="str">
            <v>466210900010184166</v>
          </cell>
          <cell r="R199">
            <v>600</v>
          </cell>
        </row>
        <row r="200">
          <cell r="A200" t="str">
            <v>00011671</v>
          </cell>
          <cell r="B200" t="str">
            <v>高似春</v>
          </cell>
          <cell r="C200" t="str">
            <v>高仕春</v>
          </cell>
          <cell r="D200" t="str">
            <v>副教授6</v>
          </cell>
          <cell r="E200" t="str">
            <v>副教授</v>
          </cell>
          <cell r="F200">
            <v>3510.5600000000004</v>
          </cell>
          <cell r="G200">
            <v>0.32</v>
          </cell>
          <cell r="H200">
            <v>2100</v>
          </cell>
          <cell r="K200">
            <v>2100</v>
          </cell>
          <cell r="L200">
            <v>5610.56</v>
          </cell>
          <cell r="M200">
            <v>106.06</v>
          </cell>
          <cell r="N200">
            <v>105.74000000000001</v>
          </cell>
          <cell r="O200" t="str">
            <v>3202160601011314854</v>
          </cell>
          <cell r="P200" t="str">
            <v>466210900010183704</v>
          </cell>
        </row>
        <row r="201">
          <cell r="A201" t="str">
            <v>00011672</v>
          </cell>
          <cell r="B201" t="str">
            <v>梅亚东</v>
          </cell>
          <cell r="C201" t="str">
            <v>梅亚东</v>
          </cell>
          <cell r="D201" t="str">
            <v>教授3</v>
          </cell>
          <cell r="E201" t="str">
            <v>教授</v>
          </cell>
          <cell r="F201">
            <v>4535.6099999999997</v>
          </cell>
          <cell r="G201">
            <v>31.07</v>
          </cell>
          <cell r="H201">
            <v>4150</v>
          </cell>
          <cell r="J201">
            <v>1200</v>
          </cell>
          <cell r="K201">
            <v>5350</v>
          </cell>
          <cell r="L201">
            <v>9885.61</v>
          </cell>
          <cell r="M201">
            <v>722.12</v>
          </cell>
          <cell r="N201">
            <v>691.05</v>
          </cell>
          <cell r="O201" t="str">
            <v>3202160601010468939</v>
          </cell>
          <cell r="P201" t="str">
            <v>466210900010183526</v>
          </cell>
        </row>
        <row r="202">
          <cell r="A202" t="str">
            <v>00011673</v>
          </cell>
          <cell r="B202" t="str">
            <v>陈森林</v>
          </cell>
          <cell r="C202" t="str">
            <v>陈森林</v>
          </cell>
          <cell r="D202" t="str">
            <v>教授4</v>
          </cell>
          <cell r="E202" t="str">
            <v>教授</v>
          </cell>
          <cell r="F202">
            <v>4171.5600000000004</v>
          </cell>
          <cell r="G202">
            <v>20.149999999999999</v>
          </cell>
          <cell r="H202">
            <v>3350</v>
          </cell>
          <cell r="K202">
            <v>3350</v>
          </cell>
          <cell r="L202">
            <v>7521.56</v>
          </cell>
          <cell r="M202">
            <v>297.16000000000003</v>
          </cell>
          <cell r="N202">
            <v>277.01000000000005</v>
          </cell>
          <cell r="O202" t="str">
            <v>6212883202000036177</v>
          </cell>
          <cell r="P202" t="str">
            <v>466210900010183674</v>
          </cell>
        </row>
        <row r="203">
          <cell r="A203" t="str">
            <v>00011677</v>
          </cell>
          <cell r="B203" t="str">
            <v>万 俊</v>
          </cell>
          <cell r="C203" t="str">
            <v>万俊</v>
          </cell>
          <cell r="D203" t="str">
            <v>副教授5</v>
          </cell>
          <cell r="E203" t="str">
            <v>副教授</v>
          </cell>
          <cell r="F203">
            <v>3728.96</v>
          </cell>
          <cell r="G203">
            <v>6.87</v>
          </cell>
          <cell r="H203">
            <v>2300</v>
          </cell>
          <cell r="K203">
            <v>2300</v>
          </cell>
          <cell r="L203">
            <v>6028.96</v>
          </cell>
          <cell r="M203">
            <v>147.9</v>
          </cell>
          <cell r="N203">
            <v>141.03</v>
          </cell>
          <cell r="O203" t="str">
            <v>3202160601010468788</v>
          </cell>
          <cell r="P203" t="str">
            <v>466210900010183666</v>
          </cell>
        </row>
        <row r="204">
          <cell r="A204" t="str">
            <v>00011680</v>
          </cell>
          <cell r="B204" t="str">
            <v>艾学山</v>
          </cell>
          <cell r="C204" t="str">
            <v>艾学山</v>
          </cell>
          <cell r="D204" t="str">
            <v>副教授7</v>
          </cell>
          <cell r="E204" t="str">
            <v>副教授</v>
          </cell>
          <cell r="F204">
            <v>0</v>
          </cell>
          <cell r="G204">
            <v>0</v>
          </cell>
          <cell r="H204">
            <v>1950</v>
          </cell>
          <cell r="K204">
            <v>1950</v>
          </cell>
          <cell r="L204">
            <v>1950</v>
          </cell>
          <cell r="M204">
            <v>0</v>
          </cell>
          <cell r="N204">
            <v>0</v>
          </cell>
          <cell r="O204" t="str">
            <v>3202160601010649454</v>
          </cell>
          <cell r="P204" t="str">
            <v>466210900010183739</v>
          </cell>
        </row>
        <row r="205">
          <cell r="A205" t="str">
            <v>00011681</v>
          </cell>
          <cell r="B205" t="str">
            <v>万 飚</v>
          </cell>
          <cell r="C205" t="str">
            <v>万飚</v>
          </cell>
          <cell r="D205" t="str">
            <v>讲师9</v>
          </cell>
          <cell r="E205" t="str">
            <v>讲师</v>
          </cell>
          <cell r="F205">
            <v>2681.99</v>
          </cell>
          <cell r="G205">
            <v>0</v>
          </cell>
          <cell r="H205">
            <v>1430</v>
          </cell>
          <cell r="K205">
            <v>1430</v>
          </cell>
          <cell r="L205">
            <v>4111.99</v>
          </cell>
          <cell r="M205">
            <v>18.36</v>
          </cell>
          <cell r="N205">
            <v>18.36</v>
          </cell>
          <cell r="O205" t="str">
            <v>3202160601010861750</v>
          </cell>
          <cell r="P205" t="str">
            <v>466210900010182368</v>
          </cell>
        </row>
        <row r="206">
          <cell r="A206" t="str">
            <v>00011682</v>
          </cell>
          <cell r="B206" t="str">
            <v>马 勇</v>
          </cell>
          <cell r="C206" t="str">
            <v>马勇</v>
          </cell>
          <cell r="D206" t="str">
            <v>讲师8</v>
          </cell>
          <cell r="E206" t="str">
            <v>讲师</v>
          </cell>
          <cell r="F206">
            <v>2899.47</v>
          </cell>
          <cell r="G206">
            <v>0</v>
          </cell>
          <cell r="H206">
            <v>1580</v>
          </cell>
          <cell r="K206">
            <v>1580</v>
          </cell>
          <cell r="L206">
            <v>4479.4699999999993</v>
          </cell>
          <cell r="M206">
            <v>29.38</v>
          </cell>
          <cell r="N206">
            <v>29.38</v>
          </cell>
          <cell r="O206" t="str">
            <v>3202160601010862129</v>
          </cell>
          <cell r="P206" t="str">
            <v>466210900010182279</v>
          </cell>
        </row>
        <row r="207">
          <cell r="A207" t="str">
            <v>00011683</v>
          </cell>
          <cell r="B207" t="str">
            <v>李 琼</v>
          </cell>
          <cell r="C207" t="str">
            <v>李琼</v>
          </cell>
          <cell r="D207" t="str">
            <v>高级实验师7</v>
          </cell>
          <cell r="E207" t="str">
            <v>高级实验师</v>
          </cell>
          <cell r="F207">
            <v>3320.71</v>
          </cell>
          <cell r="G207">
            <v>0</v>
          </cell>
          <cell r="H207">
            <v>1950</v>
          </cell>
          <cell r="K207">
            <v>1950</v>
          </cell>
          <cell r="L207">
            <v>5270.71</v>
          </cell>
          <cell r="M207">
            <v>72.069999999999993</v>
          </cell>
          <cell r="N207">
            <v>72.069999999999993</v>
          </cell>
          <cell r="O207" t="str">
            <v>3202160601010378011</v>
          </cell>
          <cell r="P207" t="str">
            <v>466210900010184042</v>
          </cell>
        </row>
        <row r="208">
          <cell r="A208" t="str">
            <v>00011685</v>
          </cell>
          <cell r="B208" t="str">
            <v>黄社华</v>
          </cell>
          <cell r="C208" t="str">
            <v>黄社华</v>
          </cell>
          <cell r="D208" t="str">
            <v>教授4</v>
          </cell>
          <cell r="E208" t="str">
            <v>教授</v>
          </cell>
          <cell r="F208">
            <v>4171.5600000000004</v>
          </cell>
          <cell r="G208">
            <v>20.149999999999999</v>
          </cell>
          <cell r="H208">
            <v>3350</v>
          </cell>
          <cell r="K208">
            <v>3350</v>
          </cell>
          <cell r="L208">
            <v>7521.56</v>
          </cell>
          <cell r="M208">
            <v>297.16000000000003</v>
          </cell>
          <cell r="N208">
            <v>277.01000000000005</v>
          </cell>
          <cell r="O208" t="str">
            <v>3202160601010423058</v>
          </cell>
          <cell r="P208" t="str">
            <v>466210900010187785</v>
          </cell>
        </row>
        <row r="209">
          <cell r="A209" t="str">
            <v>00011686</v>
          </cell>
          <cell r="B209" t="str">
            <v>齐鄂荣</v>
          </cell>
          <cell r="C209" t="str">
            <v>齐鄂荣</v>
          </cell>
          <cell r="D209" t="str">
            <v>副教授5</v>
          </cell>
          <cell r="E209" t="str">
            <v>副教授</v>
          </cell>
          <cell r="F209">
            <v>3792.1099999999997</v>
          </cell>
          <cell r="G209">
            <v>8.76</v>
          </cell>
          <cell r="H209">
            <v>2300</v>
          </cell>
          <cell r="K209">
            <v>2300</v>
          </cell>
          <cell r="L209">
            <v>6092.11</v>
          </cell>
          <cell r="M209">
            <v>154.21</v>
          </cell>
          <cell r="N209">
            <v>145.45000000000002</v>
          </cell>
          <cell r="O209" t="str">
            <v>3202160601010426287</v>
          </cell>
          <cell r="P209" t="str">
            <v>466210901880227061</v>
          </cell>
        </row>
        <row r="210">
          <cell r="A210" t="str">
            <v>00011688</v>
          </cell>
          <cell r="B210" t="str">
            <v>赵 昕</v>
          </cell>
          <cell r="C210" t="str">
            <v>赵昕</v>
          </cell>
          <cell r="D210" t="str">
            <v>副教授5</v>
          </cell>
          <cell r="E210" t="str">
            <v>副教授</v>
          </cell>
          <cell r="F210">
            <v>3792.1099999999997</v>
          </cell>
          <cell r="G210">
            <v>8.76</v>
          </cell>
          <cell r="H210">
            <v>2300</v>
          </cell>
          <cell r="K210">
            <v>2300</v>
          </cell>
          <cell r="L210">
            <v>6092.11</v>
          </cell>
          <cell r="M210">
            <v>154.21</v>
          </cell>
          <cell r="N210">
            <v>145.45000000000002</v>
          </cell>
          <cell r="O210" t="str">
            <v>3202160601010427189</v>
          </cell>
          <cell r="P210" t="str">
            <v>466210900010183313</v>
          </cell>
        </row>
        <row r="211">
          <cell r="A211" t="str">
            <v>00011689</v>
          </cell>
          <cell r="B211" t="str">
            <v>王京辉</v>
          </cell>
          <cell r="C211" t="str">
            <v>王京辉</v>
          </cell>
          <cell r="D211" t="str">
            <v>实验师8</v>
          </cell>
          <cell r="E211" t="str">
            <v>实验师</v>
          </cell>
          <cell r="F211">
            <v>2896.77</v>
          </cell>
          <cell r="G211">
            <v>0</v>
          </cell>
          <cell r="H211">
            <v>1580</v>
          </cell>
          <cell r="K211">
            <v>1580</v>
          </cell>
          <cell r="L211">
            <v>4476.7700000000004</v>
          </cell>
          <cell r="M211">
            <v>29.3</v>
          </cell>
          <cell r="N211">
            <v>29.3</v>
          </cell>
          <cell r="O211" t="str">
            <v>3202160601010753337</v>
          </cell>
          <cell r="P211" t="str">
            <v>466210901880241102</v>
          </cell>
        </row>
        <row r="212">
          <cell r="A212" t="str">
            <v>00011692</v>
          </cell>
          <cell r="B212" t="str">
            <v>槐文信</v>
          </cell>
          <cell r="C212" t="str">
            <v>槐文信</v>
          </cell>
          <cell r="D212" t="str">
            <v>教授2</v>
          </cell>
          <cell r="E212" t="str">
            <v>教授</v>
          </cell>
          <cell r="F212">
            <v>4957.5600000000004</v>
          </cell>
          <cell r="G212">
            <v>43.73</v>
          </cell>
          <cell r="H212">
            <v>4950</v>
          </cell>
          <cell r="K212">
            <v>4950</v>
          </cell>
          <cell r="L212">
            <v>9907.5600000000013</v>
          </cell>
          <cell r="M212">
            <v>726.51</v>
          </cell>
          <cell r="N212">
            <v>682.78</v>
          </cell>
          <cell r="O212" t="str">
            <v>6222083202004622078</v>
          </cell>
          <cell r="P212" t="str">
            <v>466210901880857588</v>
          </cell>
        </row>
        <row r="213">
          <cell r="A213" t="str">
            <v>00011693</v>
          </cell>
          <cell r="B213" t="str">
            <v>杨晓亭</v>
          </cell>
          <cell r="C213" t="str">
            <v>杨小亭</v>
          </cell>
          <cell r="D213" t="str">
            <v>副教授5</v>
          </cell>
          <cell r="E213" t="str">
            <v>副教授</v>
          </cell>
          <cell r="F213">
            <v>3640.16</v>
          </cell>
          <cell r="G213">
            <v>4.2</v>
          </cell>
          <cell r="H213">
            <v>2300</v>
          </cell>
          <cell r="K213">
            <v>2300</v>
          </cell>
          <cell r="L213">
            <v>5940.16</v>
          </cell>
          <cell r="M213">
            <v>139.02000000000001</v>
          </cell>
          <cell r="N213">
            <v>134.82000000000002</v>
          </cell>
          <cell r="O213" t="str">
            <v>3202160601010427065</v>
          </cell>
          <cell r="P213" t="str">
            <v>466210901880247178</v>
          </cell>
        </row>
        <row r="214">
          <cell r="A214" t="str">
            <v>00011695</v>
          </cell>
          <cell r="B214" t="str">
            <v>杨万红</v>
          </cell>
          <cell r="C214" t="str">
            <v>杨万红</v>
          </cell>
          <cell r="D214" t="str">
            <v>高级工3</v>
          </cell>
          <cell r="E214" t="str">
            <v>高级工</v>
          </cell>
          <cell r="F214">
            <v>2510.5500000000002</v>
          </cell>
          <cell r="G214">
            <v>0</v>
          </cell>
          <cell r="H214">
            <v>1050</v>
          </cell>
          <cell r="K214">
            <v>1050</v>
          </cell>
          <cell r="L214">
            <v>3560.55</v>
          </cell>
          <cell r="M214">
            <v>1.82</v>
          </cell>
          <cell r="N214">
            <v>1.82</v>
          </cell>
          <cell r="O214" t="str">
            <v>3202160601010427216</v>
          </cell>
          <cell r="P214" t="str">
            <v>466210900010184069</v>
          </cell>
        </row>
        <row r="215">
          <cell r="A215" t="str">
            <v>00011697</v>
          </cell>
          <cell r="B215" t="str">
            <v>吕一红</v>
          </cell>
          <cell r="C215" t="str">
            <v>吕一红</v>
          </cell>
          <cell r="D215" t="str">
            <v>内养</v>
          </cell>
          <cell r="E215" t="str">
            <v>内养</v>
          </cell>
          <cell r="F215">
            <v>2578.13</v>
          </cell>
          <cell r="G215">
            <v>0</v>
          </cell>
          <cell r="H215">
            <v>660</v>
          </cell>
          <cell r="K215">
            <v>660</v>
          </cell>
          <cell r="L215">
            <v>3238.13</v>
          </cell>
          <cell r="M215">
            <v>0</v>
          </cell>
          <cell r="N215">
            <v>0</v>
          </cell>
          <cell r="O215" t="str">
            <v>3202160601010426713</v>
          </cell>
          <cell r="P215" t="str">
            <v>466210900010184131</v>
          </cell>
        </row>
        <row r="216">
          <cell r="A216" t="str">
            <v>00011699</v>
          </cell>
          <cell r="B216" t="str">
            <v>赵明登</v>
          </cell>
          <cell r="C216" t="str">
            <v>赵明登</v>
          </cell>
          <cell r="D216" t="str">
            <v>教授4</v>
          </cell>
          <cell r="E216" t="str">
            <v>教授</v>
          </cell>
          <cell r="F216">
            <v>4112.3599999999997</v>
          </cell>
          <cell r="G216">
            <v>18.37</v>
          </cell>
          <cell r="H216">
            <v>3350</v>
          </cell>
          <cell r="K216">
            <v>3350</v>
          </cell>
          <cell r="L216">
            <v>7462.36</v>
          </cell>
          <cell r="M216">
            <v>291.24</v>
          </cell>
          <cell r="N216">
            <v>272.87</v>
          </cell>
          <cell r="O216" t="str">
            <v>3202160601010426961</v>
          </cell>
          <cell r="P216" t="str">
            <v>466210900010183364</v>
          </cell>
        </row>
        <row r="217">
          <cell r="A217" t="str">
            <v>00011702</v>
          </cell>
          <cell r="B217" t="str">
            <v>陈隆斌</v>
          </cell>
          <cell r="C217" t="str">
            <v>陈隆斌</v>
          </cell>
          <cell r="D217" t="str">
            <v>内养</v>
          </cell>
          <cell r="E217" t="str">
            <v>内养</v>
          </cell>
          <cell r="F217">
            <v>2565.11</v>
          </cell>
          <cell r="G217">
            <v>0</v>
          </cell>
          <cell r="H217">
            <v>540</v>
          </cell>
          <cell r="K217">
            <v>540</v>
          </cell>
          <cell r="L217">
            <v>3105.11</v>
          </cell>
          <cell r="M217">
            <v>0</v>
          </cell>
          <cell r="N217">
            <v>0</v>
          </cell>
          <cell r="O217" t="str">
            <v>3202160601010426837</v>
          </cell>
          <cell r="P217" t="str">
            <v>466210900010184093</v>
          </cell>
        </row>
        <row r="218">
          <cell r="A218" t="str">
            <v>00011704</v>
          </cell>
          <cell r="B218" t="str">
            <v>陈大宏</v>
          </cell>
          <cell r="C218" t="str">
            <v>陈大宏</v>
          </cell>
          <cell r="D218" t="str">
            <v>副教授5</v>
          </cell>
          <cell r="E218" t="str">
            <v>副教授</v>
          </cell>
          <cell r="F218">
            <v>3669.76</v>
          </cell>
          <cell r="G218">
            <v>5.09</v>
          </cell>
          <cell r="H218">
            <v>1900</v>
          </cell>
          <cell r="K218">
            <v>1900</v>
          </cell>
          <cell r="L218">
            <v>5569.76</v>
          </cell>
          <cell r="M218">
            <v>101.98</v>
          </cell>
          <cell r="N218">
            <v>96.89</v>
          </cell>
          <cell r="O218" t="str">
            <v>3202160601010643492</v>
          </cell>
          <cell r="P218" t="str">
            <v>466210900010183089</v>
          </cell>
        </row>
        <row r="219">
          <cell r="A219" t="str">
            <v>00012061</v>
          </cell>
          <cell r="B219" t="str">
            <v>杨国录</v>
          </cell>
          <cell r="C219" t="str">
            <v>杨国录</v>
          </cell>
          <cell r="D219" t="str">
            <v>教授2</v>
          </cell>
          <cell r="E219" t="str">
            <v>教授</v>
          </cell>
          <cell r="F219">
            <v>5098.66</v>
          </cell>
          <cell r="G219">
            <v>54.87</v>
          </cell>
          <cell r="H219">
            <v>4950</v>
          </cell>
          <cell r="K219">
            <v>4950</v>
          </cell>
          <cell r="L219">
            <v>10048.66</v>
          </cell>
          <cell r="M219">
            <v>754.73</v>
          </cell>
          <cell r="N219">
            <v>699.86</v>
          </cell>
          <cell r="O219" t="str">
            <v>3202160601011293315</v>
          </cell>
          <cell r="P219" t="str">
            <v>466210900010182228</v>
          </cell>
        </row>
        <row r="220">
          <cell r="A220" t="str">
            <v>00012181</v>
          </cell>
          <cell r="B220" t="str">
            <v>屈文谦</v>
          </cell>
          <cell r="C220" t="str">
            <v>屈文谦</v>
          </cell>
          <cell r="D220" t="str">
            <v>五级</v>
          </cell>
          <cell r="E220" t="str">
            <v>五级</v>
          </cell>
          <cell r="F220">
            <v>3653.42</v>
          </cell>
          <cell r="G220">
            <v>4.5999999999999996</v>
          </cell>
          <cell r="H220">
            <v>3500</v>
          </cell>
          <cell r="J220">
            <v>1500</v>
          </cell>
          <cell r="K220">
            <v>5000</v>
          </cell>
          <cell r="L220">
            <v>8653.42</v>
          </cell>
          <cell r="M220">
            <v>475.68</v>
          </cell>
          <cell r="N220">
            <v>471.08</v>
          </cell>
          <cell r="O220" t="str">
            <v>3202160601010422706</v>
          </cell>
          <cell r="P220" t="str">
            <v>466210901880503670</v>
          </cell>
        </row>
        <row r="221">
          <cell r="A221" t="str">
            <v>00012212</v>
          </cell>
          <cell r="B221" t="str">
            <v>常晓林</v>
          </cell>
          <cell r="C221" t="str">
            <v>常晓林</v>
          </cell>
          <cell r="D221" t="str">
            <v>教授2</v>
          </cell>
          <cell r="E221" t="str">
            <v>教授</v>
          </cell>
          <cell r="F221">
            <v>4925.01</v>
          </cell>
          <cell r="G221">
            <v>42.75</v>
          </cell>
          <cell r="H221">
            <v>7450</v>
          </cell>
          <cell r="K221">
            <v>7450</v>
          </cell>
          <cell r="L221">
            <v>12375.01</v>
          </cell>
          <cell r="M221">
            <v>1220</v>
          </cell>
          <cell r="N221">
            <v>1177.25</v>
          </cell>
          <cell r="O221" t="str">
            <v>3202160601010436867</v>
          </cell>
          <cell r="P221" t="str">
            <v>466210901880217775</v>
          </cell>
          <cell r="Q221" t="str">
            <v>每月2500</v>
          </cell>
        </row>
        <row r="222">
          <cell r="A222" t="str">
            <v>00012510</v>
          </cell>
          <cell r="B222" t="str">
            <v>周玉霞</v>
          </cell>
          <cell r="C222" t="str">
            <v>周玉霞</v>
          </cell>
          <cell r="D222" t="str">
            <v>六级</v>
          </cell>
          <cell r="E222" t="str">
            <v>六级</v>
          </cell>
          <cell r="F222">
            <v>3350.95</v>
          </cell>
          <cell r="G222">
            <v>0</v>
          </cell>
          <cell r="H222">
            <v>2650</v>
          </cell>
          <cell r="J222">
            <v>1300</v>
          </cell>
          <cell r="K222">
            <v>3950</v>
          </cell>
          <cell r="L222">
            <v>7300.95</v>
          </cell>
          <cell r="M222">
            <v>275.10000000000002</v>
          </cell>
          <cell r="N222">
            <v>275.10000000000002</v>
          </cell>
          <cell r="O222" t="str">
            <v>3202160601011018451</v>
          </cell>
          <cell r="P222" t="str">
            <v>466210901880522632</v>
          </cell>
        </row>
        <row r="223">
          <cell r="A223" t="str">
            <v>00014917</v>
          </cell>
          <cell r="B223" t="str">
            <v>茆 智</v>
          </cell>
          <cell r="C223" t="str">
            <v>茆智</v>
          </cell>
          <cell r="D223" t="str">
            <v>教授1</v>
          </cell>
          <cell r="E223" t="str">
            <v>教授</v>
          </cell>
          <cell r="F223">
            <v>7663</v>
          </cell>
          <cell r="G223">
            <v>0</v>
          </cell>
          <cell r="H223">
            <v>20000</v>
          </cell>
          <cell r="K223">
            <v>20000</v>
          </cell>
          <cell r="L223">
            <v>27663</v>
          </cell>
          <cell r="M223">
            <v>0</v>
          </cell>
          <cell r="N223">
            <v>0</v>
          </cell>
          <cell r="O223" t="str">
            <v>3202160601010412525</v>
          </cell>
          <cell r="P223" t="str">
            <v>466210901880430827</v>
          </cell>
          <cell r="Q223" t="str">
            <v>60岁以上专家</v>
          </cell>
          <cell r="S223" t="str">
            <v>60以上专家</v>
          </cell>
        </row>
        <row r="224">
          <cell r="A224" t="str">
            <v>00030122</v>
          </cell>
          <cell r="B224" t="str">
            <v>张艳军</v>
          </cell>
          <cell r="C224" t="str">
            <v>张艳军</v>
          </cell>
          <cell r="E224" t="str">
            <v>讲师</v>
          </cell>
          <cell r="F224">
            <v>2603.0500000000002</v>
          </cell>
          <cell r="G224">
            <v>0</v>
          </cell>
          <cell r="H224">
            <v>1580</v>
          </cell>
          <cell r="K224">
            <v>1580</v>
          </cell>
          <cell r="L224">
            <v>4183.05</v>
          </cell>
          <cell r="M224">
            <v>20.49</v>
          </cell>
          <cell r="N224">
            <v>20.49</v>
          </cell>
          <cell r="O224" t="str">
            <v>3202160601064830165</v>
          </cell>
        </row>
        <row r="225">
          <cell r="A225" t="str">
            <v>00030234</v>
          </cell>
          <cell r="B225" t="str">
            <v>DavidRhe</v>
          </cell>
          <cell r="C225" t="str">
            <v>RHEINHEIMERDAVIDEMMANUEL</v>
          </cell>
          <cell r="D225" t="str">
            <v>博士后8</v>
          </cell>
          <cell r="E225" t="str">
            <v>博士后</v>
          </cell>
          <cell r="F225">
            <v>3205</v>
          </cell>
          <cell r="G225">
            <v>0</v>
          </cell>
          <cell r="H225">
            <v>2000</v>
          </cell>
          <cell r="K225">
            <v>2000</v>
          </cell>
          <cell r="L225">
            <v>5205</v>
          </cell>
          <cell r="M225">
            <v>65.5</v>
          </cell>
          <cell r="N225">
            <v>12.15</v>
          </cell>
          <cell r="O225" t="str">
            <v>6222023202043535896</v>
          </cell>
        </row>
        <row r="226">
          <cell r="A226" t="str">
            <v>00030237</v>
          </cell>
          <cell r="B226" t="str">
            <v>林 琳</v>
          </cell>
          <cell r="C226" t="str">
            <v>林琳</v>
          </cell>
          <cell r="D226" t="str">
            <v>副研究员7</v>
          </cell>
          <cell r="E226" t="str">
            <v>副教授</v>
          </cell>
          <cell r="F226">
            <v>3018.79</v>
          </cell>
          <cell r="G226">
            <v>0</v>
          </cell>
          <cell r="H226">
            <v>1950</v>
          </cell>
          <cell r="K226">
            <v>1950</v>
          </cell>
          <cell r="L226">
            <v>4968.79</v>
          </cell>
          <cell r="M226">
            <v>44.06</v>
          </cell>
          <cell r="N226">
            <v>44.06</v>
          </cell>
          <cell r="O226" t="str">
            <v>6222083202001881461</v>
          </cell>
        </row>
        <row r="227">
          <cell r="A227" t="str">
            <v>00030264</v>
          </cell>
          <cell r="B227" t="str">
            <v>向 昭</v>
          </cell>
          <cell r="C227" t="str">
            <v>向昭</v>
          </cell>
          <cell r="E227" t="str">
            <v>九级</v>
          </cell>
          <cell r="F227">
            <v>2158.3000000000002</v>
          </cell>
          <cell r="G227">
            <v>0</v>
          </cell>
          <cell r="H227">
            <v>1200</v>
          </cell>
          <cell r="J227">
            <v>600</v>
          </cell>
          <cell r="K227">
            <v>1800</v>
          </cell>
          <cell r="L227">
            <v>3958.3</v>
          </cell>
          <cell r="M227">
            <v>13.75</v>
          </cell>
          <cell r="N227">
            <v>13.75</v>
          </cell>
          <cell r="O227" t="str">
            <v>6222023202020823687</v>
          </cell>
          <cell r="Q227" t="str">
            <v>辅导员津贴</v>
          </cell>
        </row>
        <row r="228">
          <cell r="A228" t="str">
            <v>00030275</v>
          </cell>
          <cell r="B228" t="str">
            <v>陈 欢</v>
          </cell>
          <cell r="C228" t="str">
            <v>陈欢</v>
          </cell>
          <cell r="E228" t="str">
            <v>助理实验师</v>
          </cell>
          <cell r="F228">
            <v>1971.87</v>
          </cell>
          <cell r="G228">
            <v>0</v>
          </cell>
          <cell r="H228">
            <v>1200</v>
          </cell>
          <cell r="J228">
            <v>500</v>
          </cell>
          <cell r="K228">
            <v>1700</v>
          </cell>
          <cell r="L228">
            <v>3671.87</v>
          </cell>
          <cell r="M228">
            <v>5.16</v>
          </cell>
          <cell r="N228">
            <v>5.16</v>
          </cell>
          <cell r="O228" t="str">
            <v>6222083202004207581</v>
          </cell>
        </row>
        <row r="229">
          <cell r="A229" t="str">
            <v>00030305</v>
          </cell>
          <cell r="B229" t="str">
            <v>吴 琳</v>
          </cell>
          <cell r="C229" t="str">
            <v>吴琳</v>
          </cell>
          <cell r="E229" t="str">
            <v>助理实验师</v>
          </cell>
          <cell r="F229">
            <v>1994.02</v>
          </cell>
          <cell r="G229">
            <v>0</v>
          </cell>
          <cell r="H229">
            <v>1200</v>
          </cell>
          <cell r="J229">
            <v>500</v>
          </cell>
          <cell r="K229">
            <v>2200</v>
          </cell>
          <cell r="L229">
            <v>4194.0200000000004</v>
          </cell>
          <cell r="M229">
            <v>20.82</v>
          </cell>
          <cell r="N229">
            <v>20.82</v>
          </cell>
          <cell r="O229" t="str">
            <v>6222023202043883767</v>
          </cell>
          <cell r="R229">
            <v>500</v>
          </cell>
        </row>
        <row r="230">
          <cell r="A230" t="str">
            <v>00030306</v>
          </cell>
          <cell r="B230" t="str">
            <v>李 丹</v>
          </cell>
          <cell r="C230" t="str">
            <v>李丹</v>
          </cell>
          <cell r="E230" t="str">
            <v>实验师</v>
          </cell>
          <cell r="F230">
            <v>2030.6399999999999</v>
          </cell>
          <cell r="G230">
            <v>0</v>
          </cell>
          <cell r="H230">
            <v>1200</v>
          </cell>
          <cell r="J230">
            <v>500</v>
          </cell>
          <cell r="K230">
            <v>1700</v>
          </cell>
          <cell r="L230">
            <v>3730.64</v>
          </cell>
          <cell r="M230">
            <v>6.92</v>
          </cell>
          <cell r="N230">
            <v>6.92</v>
          </cell>
          <cell r="O230" t="str">
            <v>6222023202047636005</v>
          </cell>
        </row>
        <row r="231">
          <cell r="A231" t="str">
            <v>00030310</v>
          </cell>
          <cell r="B231" t="str">
            <v>刘嘉梅</v>
          </cell>
          <cell r="C231" t="str">
            <v>刘嘉梅</v>
          </cell>
          <cell r="E231" t="str">
            <v>九级</v>
          </cell>
          <cell r="F231">
            <v>1958.3</v>
          </cell>
          <cell r="G231">
            <v>0</v>
          </cell>
          <cell r="H231">
            <v>1200</v>
          </cell>
          <cell r="J231">
            <v>500</v>
          </cell>
          <cell r="K231">
            <v>1700</v>
          </cell>
          <cell r="L231">
            <v>3658.3</v>
          </cell>
          <cell r="M231">
            <v>4.75</v>
          </cell>
          <cell r="N231">
            <v>4.75</v>
          </cell>
          <cell r="O231" t="str">
            <v>6222083202005806993</v>
          </cell>
        </row>
        <row r="232">
          <cell r="A232" t="str">
            <v>00030335</v>
          </cell>
          <cell r="B232" t="str">
            <v>郭志伟</v>
          </cell>
          <cell r="C232" t="str">
            <v>郭志伟</v>
          </cell>
          <cell r="D232" t="str">
            <v>博士后8</v>
          </cell>
          <cell r="E232" t="str">
            <v>博士后</v>
          </cell>
          <cell r="F232">
            <v>3205</v>
          </cell>
          <cell r="G232">
            <v>0</v>
          </cell>
          <cell r="H232">
            <v>1600</v>
          </cell>
          <cell r="K232">
            <v>1600</v>
          </cell>
          <cell r="L232">
            <v>4805</v>
          </cell>
          <cell r="M232">
            <v>39.15</v>
          </cell>
          <cell r="N232">
            <v>39.15</v>
          </cell>
          <cell r="O232" t="str">
            <v>6222023202048765217</v>
          </cell>
        </row>
        <row r="233">
          <cell r="A233" t="str">
            <v>00030340</v>
          </cell>
          <cell r="B233" t="str">
            <v>石长征</v>
          </cell>
          <cell r="C233" t="str">
            <v>石长征</v>
          </cell>
          <cell r="D233" t="str">
            <v>博士后8</v>
          </cell>
          <cell r="E233" t="str">
            <v>博士后</v>
          </cell>
          <cell r="F233">
            <v>3225</v>
          </cell>
          <cell r="G233">
            <v>0</v>
          </cell>
          <cell r="H233">
            <v>1600</v>
          </cell>
          <cell r="K233">
            <v>1600</v>
          </cell>
          <cell r="L233">
            <v>4825</v>
          </cell>
          <cell r="M233">
            <v>39.75</v>
          </cell>
          <cell r="N233">
            <v>39.75</v>
          </cell>
          <cell r="O233" t="str">
            <v>6222023202047054126</v>
          </cell>
        </row>
        <row r="234">
          <cell r="A234" t="str">
            <v>00030390</v>
          </cell>
          <cell r="B234" t="str">
            <v>李 玲</v>
          </cell>
          <cell r="C234" t="str">
            <v>李玲</v>
          </cell>
          <cell r="D234" t="str">
            <v>博士后8</v>
          </cell>
          <cell r="E234" t="str">
            <v>博士后</v>
          </cell>
          <cell r="F234">
            <v>3225</v>
          </cell>
          <cell r="G234">
            <v>0</v>
          </cell>
          <cell r="H234">
            <v>1600</v>
          </cell>
          <cell r="K234">
            <v>1600</v>
          </cell>
          <cell r="L234">
            <v>4825</v>
          </cell>
          <cell r="M234">
            <v>39.75</v>
          </cell>
          <cell r="N234">
            <v>39.75</v>
          </cell>
          <cell r="O234" t="str">
            <v>6222023202047636344</v>
          </cell>
        </row>
        <row r="235">
          <cell r="A235" t="str">
            <v>00011884</v>
          </cell>
          <cell r="B235" t="str">
            <v>林 涛</v>
          </cell>
          <cell r="C235" t="str">
            <v>林涛</v>
          </cell>
          <cell r="D235" t="str">
            <v>七级</v>
          </cell>
          <cell r="E235" t="str">
            <v>七级</v>
          </cell>
          <cell r="F235">
            <v>2681.27</v>
          </cell>
          <cell r="G235">
            <v>0</v>
          </cell>
          <cell r="H235">
            <v>1680</v>
          </cell>
          <cell r="J235">
            <v>800</v>
          </cell>
          <cell r="K235">
            <v>2480</v>
          </cell>
          <cell r="L235">
            <v>5161.2700000000004</v>
          </cell>
          <cell r="M235">
            <v>61.13</v>
          </cell>
          <cell r="N235">
            <v>61.13</v>
          </cell>
          <cell r="O235" t="str">
            <v>6222083202005806084</v>
          </cell>
          <cell r="Q235" t="str">
            <v>七级六年</v>
          </cell>
        </row>
        <row r="236">
          <cell r="A236" t="str">
            <v>00009705</v>
          </cell>
          <cell r="B236" t="str">
            <v>张慧芸</v>
          </cell>
          <cell r="C236" t="str">
            <v>张慧芸</v>
          </cell>
          <cell r="E236" t="str">
            <v>九级</v>
          </cell>
          <cell r="F236">
            <v>1993.45</v>
          </cell>
          <cell r="G236">
            <v>0</v>
          </cell>
          <cell r="H236">
            <v>1200</v>
          </cell>
          <cell r="J236">
            <v>500</v>
          </cell>
          <cell r="K236">
            <v>1700</v>
          </cell>
          <cell r="L236">
            <v>3693.45</v>
          </cell>
          <cell r="M236">
            <v>5.8</v>
          </cell>
          <cell r="N236">
            <v>5.8</v>
          </cell>
          <cell r="O236" t="str">
            <v>6222023202021297634</v>
          </cell>
          <cell r="Q236" t="str">
            <v>2012年12月来水院</v>
          </cell>
        </row>
        <row r="237">
          <cell r="A237" t="str">
            <v>00009855</v>
          </cell>
          <cell r="B237" t="str">
            <v>何 吉</v>
          </cell>
          <cell r="C237" t="str">
            <v>何吉</v>
          </cell>
          <cell r="D237" t="str">
            <v>讲师8</v>
          </cell>
          <cell r="E237" t="str">
            <v>讲师</v>
          </cell>
          <cell r="F237">
            <v>2425.29</v>
          </cell>
          <cell r="G237">
            <v>0</v>
          </cell>
          <cell r="H237">
            <v>1580</v>
          </cell>
          <cell r="K237">
            <v>1580</v>
          </cell>
          <cell r="L237">
            <v>4005.29</v>
          </cell>
          <cell r="M237">
            <v>15.16</v>
          </cell>
          <cell r="N237">
            <v>15.16</v>
          </cell>
          <cell r="O237" t="str">
            <v>3202160601064738790</v>
          </cell>
        </row>
        <row r="238">
          <cell r="A238" t="str">
            <v>00030451</v>
          </cell>
          <cell r="B238" t="str">
            <v>蔡新华</v>
          </cell>
          <cell r="C238" t="str">
            <v>蔡新华</v>
          </cell>
          <cell r="D238" t="str">
            <v>讲师8</v>
          </cell>
          <cell r="E238" t="str">
            <v>讲师</v>
          </cell>
          <cell r="F238">
            <v>2425.29</v>
          </cell>
          <cell r="G238">
            <v>0</v>
          </cell>
          <cell r="H238">
            <v>1580</v>
          </cell>
          <cell r="K238">
            <v>1580</v>
          </cell>
          <cell r="L238">
            <v>4005.29</v>
          </cell>
          <cell r="M238">
            <v>15.16</v>
          </cell>
          <cell r="N238">
            <v>15.16</v>
          </cell>
          <cell r="O238" t="str">
            <v>6222023202047636286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242"/>
  <sheetViews>
    <sheetView tabSelected="1" zoomScaleNormal="100" workbookViewId="0">
      <selection activeCell="E2" sqref="E2"/>
    </sheetView>
  </sheetViews>
  <sheetFormatPr defaultRowHeight="13.5"/>
  <cols>
    <col min="4" max="4" width="9" style="17"/>
    <col min="39" max="39" width="9.5" style="14" bestFit="1" customWidth="1"/>
    <col min="40" max="40" width="9" style="14"/>
    <col min="43" max="43" width="10.5" customWidth="1"/>
    <col min="44" max="44" width="17.625" customWidth="1"/>
  </cols>
  <sheetData>
    <row r="1" spans="1:44" ht="40.5">
      <c r="A1" s="16" t="s">
        <v>278</v>
      </c>
      <c r="B1" t="s">
        <v>280</v>
      </c>
      <c r="C1" s="16" t="s">
        <v>279</v>
      </c>
      <c r="D1" s="17" t="s">
        <v>281</v>
      </c>
      <c r="E1" s="16" t="s">
        <v>290</v>
      </c>
      <c r="F1">
        <v>201308</v>
      </c>
      <c r="AP1" t="e">
        <f>LOOKUP(D5,[1]contacts!$A$2:$A$400,[1]contacts!$G$2:$G$400)</f>
        <v>#REF!</v>
      </c>
    </row>
    <row r="3" spans="1:44" ht="14.25" thickBot="1"/>
    <row r="4" spans="1:44">
      <c r="A4" s="1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3" t="s">
        <v>5</v>
      </c>
      <c r="G4" s="3" t="s">
        <v>6</v>
      </c>
      <c r="H4" s="3" t="s">
        <v>7</v>
      </c>
      <c r="I4" s="3" t="s">
        <v>8</v>
      </c>
      <c r="J4" s="3" t="s">
        <v>9</v>
      </c>
      <c r="K4" s="3" t="s">
        <v>10</v>
      </c>
      <c r="L4" s="3" t="s">
        <v>11</v>
      </c>
      <c r="M4" s="3" t="s">
        <v>12</v>
      </c>
      <c r="N4" s="3" t="s">
        <v>13</v>
      </c>
      <c r="O4" s="3" t="s">
        <v>14</v>
      </c>
      <c r="P4" s="3" t="s">
        <v>15</v>
      </c>
      <c r="Q4" s="3" t="s">
        <v>16</v>
      </c>
      <c r="R4" s="3" t="s">
        <v>17</v>
      </c>
      <c r="S4" s="3" t="s">
        <v>18</v>
      </c>
      <c r="T4" s="3" t="s">
        <v>19</v>
      </c>
      <c r="U4" s="3" t="s">
        <v>20</v>
      </c>
      <c r="V4" s="3" t="s">
        <v>21</v>
      </c>
      <c r="W4" s="3" t="s">
        <v>22</v>
      </c>
      <c r="X4" s="3" t="s">
        <v>23</v>
      </c>
      <c r="Y4" s="3" t="s">
        <v>24</v>
      </c>
      <c r="Z4" s="3" t="s">
        <v>25</v>
      </c>
      <c r="AA4" s="3" t="s">
        <v>26</v>
      </c>
      <c r="AB4" s="3" t="s">
        <v>27</v>
      </c>
      <c r="AC4" s="3" t="s">
        <v>28</v>
      </c>
      <c r="AD4" s="3" t="s">
        <v>29</v>
      </c>
      <c r="AE4" s="3" t="s">
        <v>30</v>
      </c>
      <c r="AF4" s="3" t="s">
        <v>31</v>
      </c>
      <c r="AG4" s="3" t="s">
        <v>32</v>
      </c>
      <c r="AH4" s="3" t="s">
        <v>33</v>
      </c>
      <c r="AI4" s="3" t="s">
        <v>34</v>
      </c>
      <c r="AJ4" s="3" t="s">
        <v>35</v>
      </c>
      <c r="AK4" s="3" t="s">
        <v>36</v>
      </c>
      <c r="AL4" s="4" t="s">
        <v>37</v>
      </c>
      <c r="AM4" s="15" t="s">
        <v>272</v>
      </c>
      <c r="AN4" s="15" t="s">
        <v>273</v>
      </c>
      <c r="AO4" s="13" t="s">
        <v>274</v>
      </c>
      <c r="AP4" s="13" t="s">
        <v>275</v>
      </c>
      <c r="AQ4" s="13" t="s">
        <v>276</v>
      </c>
      <c r="AR4" s="13" t="s">
        <v>277</v>
      </c>
    </row>
    <row r="5" spans="1:44">
      <c r="A5" s="5"/>
      <c r="B5" s="6"/>
      <c r="C5" s="6"/>
      <c r="D5" s="6"/>
      <c r="E5" s="6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8"/>
      <c r="AM5" s="14" t="e">
        <f>VLOOKUP(D5,[2]财务部报表_有人事号!$A$2:$D$400,3,0)</f>
        <v>#N/A</v>
      </c>
      <c r="AN5" s="14" t="e">
        <f>VLOOKUP(D5,[2]财务部报表_有人事号!$A$2:$E$400,4,0)</f>
        <v>#N/A</v>
      </c>
      <c r="AR5" t="s">
        <v>289</v>
      </c>
    </row>
    <row r="6" spans="1:44">
      <c r="A6" s="5"/>
      <c r="B6" s="6"/>
      <c r="C6" s="6"/>
      <c r="D6" s="6"/>
      <c r="E6" s="6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8"/>
      <c r="AM6" s="14" t="e">
        <f>VLOOKUP(D6,[2]财务部报表_有人事号!$A$2:$D$400,3,0)</f>
        <v>#N/A</v>
      </c>
      <c r="AN6" s="14" t="e">
        <f>VLOOKUP(D6,[2]财务部报表_有人事号!$A$2:$E$400,4,0)</f>
        <v>#N/A</v>
      </c>
      <c r="AR6" t="s">
        <v>289</v>
      </c>
    </row>
    <row r="7" spans="1:44">
      <c r="A7" s="5"/>
      <c r="B7" s="6"/>
      <c r="C7" s="6"/>
      <c r="D7" s="6"/>
      <c r="E7" s="6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8"/>
      <c r="AM7" s="14" t="e">
        <f>VLOOKUP(D7,[2]财务部报表_有人事号!$A$2:$D$400,3,0)</f>
        <v>#N/A</v>
      </c>
      <c r="AN7" s="14" t="e">
        <f>VLOOKUP(D7,[2]财务部报表_有人事号!$A$2:$E$400,4,0)</f>
        <v>#N/A</v>
      </c>
      <c r="AR7" t="s">
        <v>289</v>
      </c>
    </row>
    <row r="8" spans="1:44">
      <c r="A8" s="5"/>
      <c r="B8" s="6"/>
      <c r="C8" s="6"/>
      <c r="D8" s="6"/>
      <c r="E8" s="6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8"/>
      <c r="AM8" s="14" t="e">
        <f>VLOOKUP(D8,[2]财务部报表_有人事号!$A$2:$D$400,3,0)</f>
        <v>#N/A</v>
      </c>
      <c r="AN8" s="14" t="e">
        <f>VLOOKUP(D8,[2]财务部报表_有人事号!$A$2:$E$400,4,0)</f>
        <v>#N/A</v>
      </c>
      <c r="AR8" t="s">
        <v>289</v>
      </c>
    </row>
    <row r="9" spans="1:44">
      <c r="A9" s="5"/>
      <c r="B9" s="6"/>
      <c r="C9" s="6"/>
      <c r="D9" s="6"/>
      <c r="E9" s="6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8"/>
      <c r="AM9" s="14" t="e">
        <f>VLOOKUP(D9,[2]财务部报表_有人事号!$A$2:$D$400,3,0)</f>
        <v>#N/A</v>
      </c>
      <c r="AN9" s="14" t="e">
        <f>VLOOKUP(D9,[2]财务部报表_有人事号!$A$2:$E$400,4,0)</f>
        <v>#N/A</v>
      </c>
      <c r="AR9" t="s">
        <v>289</v>
      </c>
    </row>
    <row r="10" spans="1:44">
      <c r="A10" s="5"/>
      <c r="B10" s="6"/>
      <c r="C10" s="6"/>
      <c r="D10" s="6"/>
      <c r="E10" s="6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8"/>
      <c r="AM10" s="14" t="e">
        <f>VLOOKUP(D10,[2]财务部报表_有人事号!$A$2:$D$400,3,0)</f>
        <v>#N/A</v>
      </c>
      <c r="AN10" s="14" t="e">
        <f>VLOOKUP(D10,[2]财务部报表_有人事号!$A$2:$E$400,4,0)</f>
        <v>#N/A</v>
      </c>
      <c r="AR10" t="s">
        <v>289</v>
      </c>
    </row>
    <row r="11" spans="1:44">
      <c r="A11" s="5"/>
      <c r="B11" s="6"/>
      <c r="C11" s="6"/>
      <c r="D11" s="6"/>
      <c r="E11" s="6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8"/>
      <c r="AM11" s="14" t="e">
        <f>VLOOKUP(D11,[2]财务部报表_有人事号!$A$2:$D$400,3,0)</f>
        <v>#N/A</v>
      </c>
      <c r="AN11" s="14" t="e">
        <f>VLOOKUP(D11,[2]财务部报表_有人事号!$A$2:$E$400,4,0)</f>
        <v>#N/A</v>
      </c>
      <c r="AR11" t="s">
        <v>289</v>
      </c>
    </row>
    <row r="12" spans="1:44">
      <c r="A12" s="5"/>
      <c r="B12" s="6"/>
      <c r="C12" s="6"/>
      <c r="D12" s="6"/>
      <c r="E12" s="6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8"/>
      <c r="AM12" s="14" t="e">
        <f>VLOOKUP(D12,[2]财务部报表_有人事号!$A$2:$D$400,3,0)</f>
        <v>#N/A</v>
      </c>
      <c r="AN12" s="14" t="e">
        <f>VLOOKUP(D12,[2]财务部报表_有人事号!$A$2:$E$400,4,0)</f>
        <v>#N/A</v>
      </c>
      <c r="AR12" t="s">
        <v>289</v>
      </c>
    </row>
    <row r="13" spans="1:44">
      <c r="A13" s="5"/>
      <c r="B13" s="6"/>
      <c r="C13" s="6"/>
      <c r="D13" s="6"/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8"/>
      <c r="AM13" s="14" t="e">
        <f>VLOOKUP(D13,[2]财务部报表_有人事号!$A$2:$D$400,3,0)</f>
        <v>#N/A</v>
      </c>
      <c r="AN13" s="14" t="e">
        <f>VLOOKUP(D13,[2]财务部报表_有人事号!$A$2:$E$400,4,0)</f>
        <v>#N/A</v>
      </c>
      <c r="AR13" t="s">
        <v>289</v>
      </c>
    </row>
    <row r="14" spans="1:44">
      <c r="A14" s="5"/>
      <c r="B14" s="6"/>
      <c r="C14" s="6"/>
      <c r="D14" s="6"/>
      <c r="E14" s="6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8"/>
      <c r="AM14" s="14" t="e">
        <f>VLOOKUP(D14,[2]财务部报表_有人事号!$A$2:$D$400,3,0)</f>
        <v>#N/A</v>
      </c>
      <c r="AN14" s="14" t="e">
        <f>VLOOKUP(D14,[2]财务部报表_有人事号!$A$2:$E$400,4,0)</f>
        <v>#N/A</v>
      </c>
      <c r="AR14" t="s">
        <v>289</v>
      </c>
    </row>
    <row r="15" spans="1:44">
      <c r="A15" s="5"/>
      <c r="B15" s="6"/>
      <c r="C15" s="6"/>
      <c r="D15" s="6"/>
      <c r="E15" s="6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8"/>
      <c r="AM15" s="14" t="e">
        <f>VLOOKUP(D15,[2]财务部报表_有人事号!$A$2:$D$400,3,0)</f>
        <v>#N/A</v>
      </c>
      <c r="AN15" s="14" t="e">
        <f>VLOOKUP(D15,[2]财务部报表_有人事号!$A$2:$E$400,4,0)</f>
        <v>#N/A</v>
      </c>
      <c r="AR15" t="s">
        <v>289</v>
      </c>
    </row>
    <row r="16" spans="1:44">
      <c r="A16" s="5"/>
      <c r="B16" s="6"/>
      <c r="C16" s="6"/>
      <c r="D16" s="6"/>
      <c r="E16" s="6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8"/>
      <c r="AM16" s="14" t="e">
        <f>VLOOKUP(D16,[2]财务部报表_有人事号!$A$2:$D$400,3,0)</f>
        <v>#N/A</v>
      </c>
      <c r="AN16" s="14" t="e">
        <f>VLOOKUP(D16,[2]财务部报表_有人事号!$A$2:$E$400,4,0)</f>
        <v>#N/A</v>
      </c>
      <c r="AR16" t="s">
        <v>289</v>
      </c>
    </row>
    <row r="17" spans="1:44">
      <c r="A17" s="5"/>
      <c r="B17" s="6"/>
      <c r="C17" s="6"/>
      <c r="D17" s="6"/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8"/>
      <c r="AM17" s="14" t="e">
        <f>VLOOKUP(D17,[2]财务部报表_有人事号!$A$2:$D$400,3,0)</f>
        <v>#N/A</v>
      </c>
      <c r="AN17" s="14" t="e">
        <f>VLOOKUP(D17,[2]财务部报表_有人事号!$A$2:$E$400,4,0)</f>
        <v>#N/A</v>
      </c>
      <c r="AR17" t="s">
        <v>289</v>
      </c>
    </row>
    <row r="18" spans="1:44">
      <c r="A18" s="5"/>
      <c r="B18" s="6"/>
      <c r="C18" s="6"/>
      <c r="D18" s="6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8"/>
      <c r="AM18" s="14" t="e">
        <f>VLOOKUP(D18,[2]财务部报表_有人事号!$A$2:$D$400,3,0)</f>
        <v>#N/A</v>
      </c>
      <c r="AN18" s="14" t="e">
        <f>VLOOKUP(D18,[2]财务部报表_有人事号!$A$2:$E$400,4,0)</f>
        <v>#N/A</v>
      </c>
      <c r="AR18" t="s">
        <v>289</v>
      </c>
    </row>
    <row r="19" spans="1:44">
      <c r="A19" s="5"/>
      <c r="B19" s="6"/>
      <c r="C19" s="6"/>
      <c r="D19" s="6"/>
      <c r="E19" s="6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8"/>
      <c r="AM19" s="14" t="e">
        <f>VLOOKUP(D19,[2]财务部报表_有人事号!$A$2:$D$400,3,0)</f>
        <v>#N/A</v>
      </c>
      <c r="AN19" s="14" t="e">
        <f>VLOOKUP(D19,[2]财务部报表_有人事号!$A$2:$E$400,4,0)</f>
        <v>#N/A</v>
      </c>
      <c r="AR19" t="s">
        <v>289</v>
      </c>
    </row>
    <row r="20" spans="1:44">
      <c r="A20" s="5"/>
      <c r="B20" s="6"/>
      <c r="C20" s="6"/>
      <c r="D20" s="6"/>
      <c r="E20" s="6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8"/>
      <c r="AM20" s="14" t="e">
        <f>VLOOKUP(D20,[2]财务部报表_有人事号!$A$2:$D$400,3,0)</f>
        <v>#N/A</v>
      </c>
      <c r="AN20" s="14" t="e">
        <f>VLOOKUP(D20,[2]财务部报表_有人事号!$A$2:$E$400,4,0)</f>
        <v>#N/A</v>
      </c>
      <c r="AR20" t="s">
        <v>289</v>
      </c>
    </row>
    <row r="21" spans="1:44">
      <c r="A21" s="5"/>
      <c r="B21" s="6"/>
      <c r="C21" s="6"/>
      <c r="D21" s="6"/>
      <c r="E21" s="6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8"/>
      <c r="AM21" s="14" t="e">
        <f>VLOOKUP(D21,[2]财务部报表_有人事号!$A$2:$D$400,3,0)</f>
        <v>#N/A</v>
      </c>
      <c r="AN21" s="14" t="e">
        <f>VLOOKUP(D21,[2]财务部报表_有人事号!$A$2:$E$400,4,0)</f>
        <v>#N/A</v>
      </c>
      <c r="AR21" t="s">
        <v>289</v>
      </c>
    </row>
    <row r="22" spans="1:44">
      <c r="A22" s="5"/>
      <c r="B22" s="6"/>
      <c r="C22" s="6"/>
      <c r="D22" s="6"/>
      <c r="E22" s="6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8"/>
      <c r="AM22" s="14" t="e">
        <f>VLOOKUP(D22,[2]财务部报表_有人事号!$A$2:$D$400,3,0)</f>
        <v>#N/A</v>
      </c>
      <c r="AN22" s="14" t="e">
        <f>VLOOKUP(D22,[2]财务部报表_有人事号!$A$2:$E$400,4,0)</f>
        <v>#N/A</v>
      </c>
      <c r="AR22" t="s">
        <v>289</v>
      </c>
    </row>
    <row r="23" spans="1:44">
      <c r="A23" s="5"/>
      <c r="B23" s="6"/>
      <c r="C23" s="6"/>
      <c r="D23" s="6"/>
      <c r="E23" s="6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8"/>
      <c r="AM23" s="14" t="e">
        <f>VLOOKUP(D23,[2]财务部报表_有人事号!$A$2:$D$400,3,0)</f>
        <v>#N/A</v>
      </c>
      <c r="AN23" s="14" t="e">
        <f>VLOOKUP(D23,[2]财务部报表_有人事号!$A$2:$E$400,4,0)</f>
        <v>#N/A</v>
      </c>
      <c r="AR23" t="s">
        <v>289</v>
      </c>
    </row>
    <row r="24" spans="1:44">
      <c r="A24" s="5"/>
      <c r="B24" s="6"/>
      <c r="C24" s="6"/>
      <c r="D24" s="6"/>
      <c r="E24" s="6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8"/>
      <c r="AM24" s="14" t="e">
        <f>VLOOKUP(D24,[2]财务部报表_有人事号!$A$2:$D$400,3,0)</f>
        <v>#N/A</v>
      </c>
      <c r="AN24" s="14" t="e">
        <f>VLOOKUP(D24,[2]财务部报表_有人事号!$A$2:$E$400,4,0)</f>
        <v>#N/A</v>
      </c>
      <c r="AR24" t="s">
        <v>289</v>
      </c>
    </row>
    <row r="25" spans="1:44">
      <c r="A25" s="5"/>
      <c r="B25" s="6"/>
      <c r="C25" s="6"/>
      <c r="D25" s="6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8"/>
      <c r="AM25" s="14" t="e">
        <f>VLOOKUP(D25,[2]财务部报表_有人事号!$A$2:$D$400,3,0)</f>
        <v>#N/A</v>
      </c>
      <c r="AN25" s="14" t="e">
        <f>VLOOKUP(D25,[2]财务部报表_有人事号!$A$2:$E$400,4,0)</f>
        <v>#N/A</v>
      </c>
      <c r="AR25" t="s">
        <v>289</v>
      </c>
    </row>
    <row r="26" spans="1:44">
      <c r="A26" s="5"/>
      <c r="B26" s="6"/>
      <c r="C26" s="6"/>
      <c r="D26" s="6"/>
      <c r="E26" s="6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8"/>
      <c r="AM26" s="14" t="e">
        <f>VLOOKUP(D26,[2]财务部报表_有人事号!$A$2:$D$400,3,0)</f>
        <v>#N/A</v>
      </c>
      <c r="AN26" s="14" t="e">
        <f>VLOOKUP(D26,[2]财务部报表_有人事号!$A$2:$E$400,4,0)</f>
        <v>#N/A</v>
      </c>
      <c r="AR26" t="s">
        <v>289</v>
      </c>
    </row>
    <row r="27" spans="1:44">
      <c r="A27" s="5"/>
      <c r="B27" s="6"/>
      <c r="C27" s="6"/>
      <c r="D27" s="6"/>
      <c r="E27" s="6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8"/>
      <c r="AM27" s="14" t="e">
        <f>VLOOKUP(D27,[2]财务部报表_有人事号!$A$2:$D$400,3,0)</f>
        <v>#N/A</v>
      </c>
      <c r="AN27" s="14" t="e">
        <f>VLOOKUP(D27,[2]财务部报表_有人事号!$A$2:$E$400,4,0)</f>
        <v>#N/A</v>
      </c>
      <c r="AR27" t="s">
        <v>289</v>
      </c>
    </row>
    <row r="28" spans="1:44">
      <c r="A28" s="5"/>
      <c r="B28" s="6"/>
      <c r="C28" s="6"/>
      <c r="D28" s="6"/>
      <c r="E28" s="6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8"/>
      <c r="AM28" s="14" t="e">
        <f>VLOOKUP(D28,[2]财务部报表_有人事号!$A$2:$D$400,3,0)</f>
        <v>#N/A</v>
      </c>
      <c r="AN28" s="14" t="e">
        <f>VLOOKUP(D28,[2]财务部报表_有人事号!$A$2:$E$400,4,0)</f>
        <v>#N/A</v>
      </c>
      <c r="AR28" t="s">
        <v>289</v>
      </c>
    </row>
    <row r="29" spans="1:44">
      <c r="A29" s="5"/>
      <c r="B29" s="6"/>
      <c r="C29" s="6"/>
      <c r="D29" s="6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8"/>
      <c r="AM29" s="14" t="e">
        <f>VLOOKUP(D29,[2]财务部报表_有人事号!$A$2:$D$400,3,0)</f>
        <v>#N/A</v>
      </c>
      <c r="AN29" s="14" t="e">
        <f>VLOOKUP(D29,[2]财务部报表_有人事号!$A$2:$E$400,4,0)</f>
        <v>#N/A</v>
      </c>
      <c r="AR29" t="s">
        <v>289</v>
      </c>
    </row>
    <row r="30" spans="1:44">
      <c r="A30" s="5"/>
      <c r="B30" s="6"/>
      <c r="C30" s="6"/>
      <c r="D30" s="6"/>
      <c r="E30" s="6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8"/>
      <c r="AM30" s="14" t="e">
        <f>VLOOKUP(D30,[2]财务部报表_有人事号!$A$2:$D$400,3,0)</f>
        <v>#N/A</v>
      </c>
      <c r="AN30" s="14" t="e">
        <f>VLOOKUP(D30,[2]财务部报表_有人事号!$A$2:$E$400,4,0)</f>
        <v>#N/A</v>
      </c>
      <c r="AR30" t="s">
        <v>289</v>
      </c>
    </row>
    <row r="31" spans="1:44">
      <c r="A31" s="5"/>
      <c r="B31" s="6"/>
      <c r="C31" s="6"/>
      <c r="D31" s="6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8"/>
      <c r="AM31" s="14" t="e">
        <f>VLOOKUP(D31,[2]财务部报表_有人事号!$A$2:$D$400,3,0)</f>
        <v>#N/A</v>
      </c>
      <c r="AN31" s="14" t="e">
        <f>VLOOKUP(D31,[2]财务部报表_有人事号!$A$2:$E$400,4,0)</f>
        <v>#N/A</v>
      </c>
      <c r="AR31" t="s">
        <v>289</v>
      </c>
    </row>
    <row r="32" spans="1:44">
      <c r="A32" s="5"/>
      <c r="B32" s="6"/>
      <c r="C32" s="6"/>
      <c r="D32" s="6"/>
      <c r="E32" s="6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8"/>
      <c r="AM32" s="14" t="e">
        <f>VLOOKUP(D32,[2]财务部报表_有人事号!$A$2:$D$400,3,0)</f>
        <v>#N/A</v>
      </c>
      <c r="AN32" s="14" t="e">
        <f>VLOOKUP(D32,[2]财务部报表_有人事号!$A$2:$E$400,4,0)</f>
        <v>#N/A</v>
      </c>
      <c r="AR32" t="s">
        <v>289</v>
      </c>
    </row>
    <row r="33" spans="1:44">
      <c r="A33" s="5"/>
      <c r="B33" s="6"/>
      <c r="C33" s="6"/>
      <c r="D33" s="6"/>
      <c r="E33" s="6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8"/>
      <c r="AM33" s="14" t="e">
        <f>VLOOKUP(D33,[2]财务部报表_有人事号!$A$2:$D$400,3,0)</f>
        <v>#N/A</v>
      </c>
      <c r="AN33" s="14" t="e">
        <f>VLOOKUP(D33,[2]财务部报表_有人事号!$A$2:$E$400,4,0)</f>
        <v>#N/A</v>
      </c>
      <c r="AR33" t="s">
        <v>289</v>
      </c>
    </row>
    <row r="34" spans="1:44">
      <c r="A34" s="5"/>
      <c r="B34" s="6"/>
      <c r="C34" s="6"/>
      <c r="D34" s="6"/>
      <c r="E34" s="6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8"/>
      <c r="AM34" s="14" t="e">
        <f>VLOOKUP(D34,[2]财务部报表_有人事号!$A$2:$D$400,3,0)</f>
        <v>#N/A</v>
      </c>
      <c r="AN34" s="14" t="e">
        <f>VLOOKUP(D34,[2]财务部报表_有人事号!$A$2:$E$400,4,0)</f>
        <v>#N/A</v>
      </c>
      <c r="AR34" t="s">
        <v>289</v>
      </c>
    </row>
    <row r="35" spans="1:44">
      <c r="A35" s="5"/>
      <c r="B35" s="6"/>
      <c r="C35" s="6"/>
      <c r="D35" s="6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8"/>
      <c r="AM35" s="14" t="e">
        <f>VLOOKUP(D35,[2]财务部报表_有人事号!$A$2:$D$400,3,0)</f>
        <v>#N/A</v>
      </c>
      <c r="AN35" s="14" t="e">
        <f>VLOOKUP(D35,[2]财务部报表_有人事号!$A$2:$E$400,4,0)</f>
        <v>#N/A</v>
      </c>
      <c r="AR35" t="s">
        <v>289</v>
      </c>
    </row>
    <row r="36" spans="1:44">
      <c r="A36" s="5"/>
      <c r="B36" s="6"/>
      <c r="C36" s="6"/>
      <c r="D36" s="6"/>
      <c r="E36" s="6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8"/>
      <c r="AM36" s="14" t="e">
        <f>VLOOKUP(D36,[2]财务部报表_有人事号!$A$2:$D$400,3,0)</f>
        <v>#N/A</v>
      </c>
      <c r="AN36" s="14" t="e">
        <f>VLOOKUP(D36,[2]财务部报表_有人事号!$A$2:$E$400,4,0)</f>
        <v>#N/A</v>
      </c>
      <c r="AR36" t="s">
        <v>289</v>
      </c>
    </row>
    <row r="37" spans="1:44">
      <c r="A37" s="5"/>
      <c r="B37" s="6"/>
      <c r="C37" s="6"/>
      <c r="D37" s="6"/>
      <c r="E37" s="6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8"/>
      <c r="AM37" s="14" t="e">
        <f>VLOOKUP(D37,[2]财务部报表_有人事号!$A$2:$D$400,3,0)</f>
        <v>#N/A</v>
      </c>
      <c r="AN37" s="14" t="e">
        <f>VLOOKUP(D37,[2]财务部报表_有人事号!$A$2:$E$400,4,0)</f>
        <v>#N/A</v>
      </c>
      <c r="AR37" t="s">
        <v>289</v>
      </c>
    </row>
    <row r="38" spans="1:44">
      <c r="A38" s="5"/>
      <c r="B38" s="6"/>
      <c r="C38" s="6"/>
      <c r="D38" s="6"/>
      <c r="E38" s="6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8"/>
      <c r="AM38" s="14" t="e">
        <f>VLOOKUP(D38,[2]财务部报表_有人事号!$A$2:$D$400,3,0)</f>
        <v>#N/A</v>
      </c>
      <c r="AN38" s="14" t="e">
        <f>VLOOKUP(D38,[2]财务部报表_有人事号!$A$2:$E$400,4,0)</f>
        <v>#N/A</v>
      </c>
      <c r="AR38" t="s">
        <v>289</v>
      </c>
    </row>
    <row r="39" spans="1:44">
      <c r="A39" s="5"/>
      <c r="B39" s="6"/>
      <c r="C39" s="6"/>
      <c r="D39" s="6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8"/>
      <c r="AM39" s="14" t="e">
        <f>VLOOKUP(D39,[2]财务部报表_有人事号!$A$2:$D$400,3,0)</f>
        <v>#N/A</v>
      </c>
      <c r="AN39" s="14" t="e">
        <f>VLOOKUP(D39,[2]财务部报表_有人事号!$A$2:$E$400,4,0)</f>
        <v>#N/A</v>
      </c>
      <c r="AR39" t="s">
        <v>289</v>
      </c>
    </row>
    <row r="40" spans="1:44">
      <c r="A40" s="5"/>
      <c r="B40" s="6"/>
      <c r="C40" s="6"/>
      <c r="D40" s="6"/>
      <c r="E40" s="6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8"/>
      <c r="AM40" s="14" t="e">
        <f>VLOOKUP(D40,[2]财务部报表_有人事号!$A$2:$D$400,3,0)</f>
        <v>#N/A</v>
      </c>
      <c r="AN40" s="14" t="e">
        <f>VLOOKUP(D40,[2]财务部报表_有人事号!$A$2:$E$400,4,0)</f>
        <v>#N/A</v>
      </c>
      <c r="AR40" t="s">
        <v>289</v>
      </c>
    </row>
    <row r="41" spans="1:44">
      <c r="A41" s="5"/>
      <c r="B41" s="6"/>
      <c r="C41" s="6"/>
      <c r="D41" s="6"/>
      <c r="E41" s="6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8"/>
      <c r="AM41" s="14" t="e">
        <f>VLOOKUP(D41,[2]财务部报表_有人事号!$A$2:$D$400,3,0)</f>
        <v>#N/A</v>
      </c>
      <c r="AN41" s="14" t="e">
        <f>VLOOKUP(D41,[2]财务部报表_有人事号!$A$2:$E$400,4,0)</f>
        <v>#N/A</v>
      </c>
      <c r="AR41" t="s">
        <v>289</v>
      </c>
    </row>
    <row r="42" spans="1:44">
      <c r="A42" s="5"/>
      <c r="B42" s="6"/>
      <c r="C42" s="6"/>
      <c r="D42" s="6"/>
      <c r="E42" s="6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8"/>
      <c r="AM42" s="14" t="e">
        <f>VLOOKUP(D42,[2]财务部报表_有人事号!$A$2:$D$400,3,0)</f>
        <v>#N/A</v>
      </c>
      <c r="AN42" s="14" t="e">
        <f>VLOOKUP(D42,[2]财务部报表_有人事号!$A$2:$E$400,4,0)</f>
        <v>#N/A</v>
      </c>
      <c r="AR42" t="s">
        <v>289</v>
      </c>
    </row>
    <row r="43" spans="1:44">
      <c r="A43" s="5"/>
      <c r="B43" s="6"/>
      <c r="C43" s="6"/>
      <c r="D43" s="6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8"/>
      <c r="AM43" s="14" t="e">
        <f>VLOOKUP(D43,[2]财务部报表_有人事号!$A$2:$D$400,3,0)</f>
        <v>#N/A</v>
      </c>
      <c r="AN43" s="14" t="e">
        <f>VLOOKUP(D43,[2]财务部报表_有人事号!$A$2:$E$400,4,0)</f>
        <v>#N/A</v>
      </c>
      <c r="AR43" t="s">
        <v>289</v>
      </c>
    </row>
    <row r="44" spans="1:44">
      <c r="A44" s="5"/>
      <c r="B44" s="6"/>
      <c r="C44" s="6"/>
      <c r="D44" s="6"/>
      <c r="E44" s="6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8"/>
      <c r="AM44" s="14" t="e">
        <f>VLOOKUP(D44,[2]财务部报表_有人事号!$A$2:$D$400,3,0)</f>
        <v>#N/A</v>
      </c>
      <c r="AN44" s="14" t="e">
        <f>VLOOKUP(D44,[2]财务部报表_有人事号!$A$2:$E$400,4,0)</f>
        <v>#N/A</v>
      </c>
      <c r="AR44" t="s">
        <v>289</v>
      </c>
    </row>
    <row r="45" spans="1:44">
      <c r="A45" s="5"/>
      <c r="B45" s="6"/>
      <c r="C45" s="6"/>
      <c r="D45" s="6"/>
      <c r="E45" s="6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8"/>
      <c r="AM45" s="14" t="e">
        <f>VLOOKUP(D45,[2]财务部报表_有人事号!$A$2:$D$400,3,0)</f>
        <v>#N/A</v>
      </c>
      <c r="AN45" s="14" t="e">
        <f>VLOOKUP(D45,[2]财务部报表_有人事号!$A$2:$E$400,4,0)</f>
        <v>#N/A</v>
      </c>
      <c r="AR45" t="s">
        <v>289</v>
      </c>
    </row>
    <row r="46" spans="1:44">
      <c r="A46" s="5"/>
      <c r="B46" s="6"/>
      <c r="C46" s="6"/>
      <c r="D46" s="6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8"/>
      <c r="AM46" s="14" t="e">
        <f>VLOOKUP(D46,[2]财务部报表_有人事号!$A$2:$D$400,3,0)</f>
        <v>#N/A</v>
      </c>
      <c r="AN46" s="14" t="e">
        <f>VLOOKUP(D46,[2]财务部报表_有人事号!$A$2:$E$400,4,0)</f>
        <v>#N/A</v>
      </c>
      <c r="AR46" t="s">
        <v>289</v>
      </c>
    </row>
    <row r="47" spans="1:44">
      <c r="A47" s="5"/>
      <c r="B47" s="6"/>
      <c r="C47" s="6"/>
      <c r="D47" s="6"/>
      <c r="E47" s="6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8"/>
      <c r="AM47" s="14" t="e">
        <f>VLOOKUP(D47,[2]财务部报表_有人事号!$A$2:$D$400,3,0)</f>
        <v>#N/A</v>
      </c>
      <c r="AN47" s="14" t="e">
        <f>VLOOKUP(D47,[2]财务部报表_有人事号!$A$2:$E$400,4,0)</f>
        <v>#N/A</v>
      </c>
      <c r="AR47" t="s">
        <v>289</v>
      </c>
    </row>
    <row r="48" spans="1:44">
      <c r="A48" s="5"/>
      <c r="B48" s="6"/>
      <c r="C48" s="6"/>
      <c r="D48" s="6"/>
      <c r="E48" s="6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8"/>
      <c r="AM48" s="14" t="e">
        <f>VLOOKUP(D48,[2]财务部报表_有人事号!$A$2:$D$400,3,0)</f>
        <v>#N/A</v>
      </c>
      <c r="AN48" s="14" t="e">
        <f>VLOOKUP(D48,[2]财务部报表_有人事号!$A$2:$E$400,4,0)</f>
        <v>#N/A</v>
      </c>
      <c r="AR48" t="s">
        <v>289</v>
      </c>
    </row>
    <row r="49" spans="1:44">
      <c r="A49" s="5"/>
      <c r="B49" s="6"/>
      <c r="C49" s="6"/>
      <c r="D49" s="6"/>
      <c r="E49" s="6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8"/>
      <c r="AM49" s="14" t="e">
        <f>VLOOKUP(D49,[2]财务部报表_有人事号!$A$2:$D$400,3,0)</f>
        <v>#N/A</v>
      </c>
      <c r="AN49" s="14" t="e">
        <f>VLOOKUP(D49,[2]财务部报表_有人事号!$A$2:$E$400,4,0)</f>
        <v>#N/A</v>
      </c>
      <c r="AR49" t="s">
        <v>289</v>
      </c>
    </row>
    <row r="50" spans="1:44">
      <c r="A50" s="5"/>
      <c r="B50" s="6"/>
      <c r="C50" s="6"/>
      <c r="D50" s="6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8"/>
      <c r="AM50" s="14" t="e">
        <f>VLOOKUP(D50,[2]财务部报表_有人事号!$A$2:$D$400,3,0)</f>
        <v>#N/A</v>
      </c>
      <c r="AN50" s="14" t="e">
        <f>VLOOKUP(D50,[2]财务部报表_有人事号!$A$2:$E$400,4,0)</f>
        <v>#N/A</v>
      </c>
      <c r="AR50" t="s">
        <v>289</v>
      </c>
    </row>
    <row r="51" spans="1:44">
      <c r="A51" s="5"/>
      <c r="B51" s="6"/>
      <c r="C51" s="6"/>
      <c r="D51" s="6"/>
      <c r="E51" s="6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8"/>
      <c r="AM51" s="14" t="e">
        <f>VLOOKUP(D51,[2]财务部报表_有人事号!$A$2:$D$400,3,0)</f>
        <v>#N/A</v>
      </c>
      <c r="AN51" s="14" t="e">
        <f>VLOOKUP(D51,[2]财务部报表_有人事号!$A$2:$E$400,4,0)</f>
        <v>#N/A</v>
      </c>
      <c r="AR51" t="s">
        <v>289</v>
      </c>
    </row>
    <row r="52" spans="1:44">
      <c r="A52" s="5"/>
      <c r="B52" s="6"/>
      <c r="C52" s="6"/>
      <c r="D52" s="6"/>
      <c r="E52" s="6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8"/>
      <c r="AM52" s="14" t="e">
        <f>VLOOKUP(D52,[2]财务部报表_有人事号!$A$2:$D$400,3,0)</f>
        <v>#N/A</v>
      </c>
      <c r="AN52" s="14" t="e">
        <f>VLOOKUP(D52,[2]财务部报表_有人事号!$A$2:$E$400,4,0)</f>
        <v>#N/A</v>
      </c>
      <c r="AR52" t="s">
        <v>289</v>
      </c>
    </row>
    <row r="53" spans="1:44">
      <c r="A53" s="5"/>
      <c r="B53" s="6"/>
      <c r="C53" s="6"/>
      <c r="D53" s="6"/>
      <c r="E53" s="6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8"/>
      <c r="AM53" s="14" t="e">
        <f>VLOOKUP(D53,[2]财务部报表_有人事号!$A$2:$D$400,3,0)</f>
        <v>#N/A</v>
      </c>
      <c r="AN53" s="14" t="e">
        <f>VLOOKUP(D53,[2]财务部报表_有人事号!$A$2:$E$400,4,0)</f>
        <v>#N/A</v>
      </c>
      <c r="AR53" t="s">
        <v>289</v>
      </c>
    </row>
    <row r="54" spans="1:44">
      <c r="A54" s="5"/>
      <c r="B54" s="6"/>
      <c r="C54" s="6"/>
      <c r="D54" s="6"/>
      <c r="E54" s="6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8"/>
      <c r="AM54" s="14" t="e">
        <f>VLOOKUP(D54,[2]财务部报表_有人事号!$A$2:$D$400,3,0)</f>
        <v>#N/A</v>
      </c>
      <c r="AN54" s="14" t="e">
        <f>VLOOKUP(D54,[2]财务部报表_有人事号!$A$2:$E$400,4,0)</f>
        <v>#N/A</v>
      </c>
      <c r="AR54" t="s">
        <v>289</v>
      </c>
    </row>
    <row r="55" spans="1:44">
      <c r="A55" s="5"/>
      <c r="B55" s="6"/>
      <c r="C55" s="6"/>
      <c r="D55" s="6"/>
      <c r="E55" s="6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8"/>
      <c r="AM55" s="14" t="e">
        <f>VLOOKUP(D55,[2]财务部报表_有人事号!$A$2:$D$400,3,0)</f>
        <v>#N/A</v>
      </c>
      <c r="AN55" s="14" t="e">
        <f>VLOOKUP(D55,[2]财务部报表_有人事号!$A$2:$E$400,4,0)</f>
        <v>#N/A</v>
      </c>
      <c r="AR55" t="s">
        <v>289</v>
      </c>
    </row>
    <row r="56" spans="1:44">
      <c r="A56" s="5"/>
      <c r="B56" s="6"/>
      <c r="C56" s="6"/>
      <c r="D56" s="6"/>
      <c r="E56" s="6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8"/>
      <c r="AM56" s="14" t="e">
        <f>VLOOKUP(D56,[2]财务部报表_有人事号!$A$2:$D$400,3,0)</f>
        <v>#N/A</v>
      </c>
      <c r="AN56" s="14" t="e">
        <f>VLOOKUP(D56,[2]财务部报表_有人事号!$A$2:$E$400,4,0)</f>
        <v>#N/A</v>
      </c>
      <c r="AR56" t="s">
        <v>289</v>
      </c>
    </row>
    <row r="57" spans="1:44">
      <c r="A57" s="5"/>
      <c r="B57" s="6"/>
      <c r="C57" s="6"/>
      <c r="D57" s="6"/>
      <c r="E57" s="6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8"/>
      <c r="AM57" s="14" t="e">
        <f>VLOOKUP(D57,[2]财务部报表_有人事号!$A$2:$D$400,3,0)</f>
        <v>#N/A</v>
      </c>
      <c r="AN57" s="14" t="e">
        <f>VLOOKUP(D57,[2]财务部报表_有人事号!$A$2:$E$400,4,0)</f>
        <v>#N/A</v>
      </c>
      <c r="AR57" t="s">
        <v>289</v>
      </c>
    </row>
    <row r="58" spans="1:44">
      <c r="A58" s="5"/>
      <c r="B58" s="6"/>
      <c r="C58" s="6"/>
      <c r="D58" s="6"/>
      <c r="E58" s="6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8"/>
      <c r="AM58" s="14" t="e">
        <f>VLOOKUP(D58,[2]财务部报表_有人事号!$A$2:$D$400,3,0)</f>
        <v>#N/A</v>
      </c>
      <c r="AN58" s="14" t="e">
        <f>VLOOKUP(D58,[2]财务部报表_有人事号!$A$2:$E$400,4,0)</f>
        <v>#N/A</v>
      </c>
      <c r="AR58" t="s">
        <v>289</v>
      </c>
    </row>
    <row r="59" spans="1:44">
      <c r="A59" s="5"/>
      <c r="B59" s="6"/>
      <c r="C59" s="6"/>
      <c r="D59" s="6"/>
      <c r="E59" s="6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8"/>
      <c r="AM59" s="14" t="e">
        <f>VLOOKUP(D59,[2]财务部报表_有人事号!$A$2:$D$400,3,0)</f>
        <v>#N/A</v>
      </c>
      <c r="AN59" s="14" t="e">
        <f>VLOOKUP(D59,[2]财务部报表_有人事号!$A$2:$E$400,4,0)</f>
        <v>#N/A</v>
      </c>
      <c r="AR59" t="s">
        <v>289</v>
      </c>
    </row>
    <row r="60" spans="1:44">
      <c r="A60" s="5"/>
      <c r="B60" s="6"/>
      <c r="C60" s="6"/>
      <c r="D60" s="6"/>
      <c r="E60" s="6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8"/>
      <c r="AM60" s="14" t="e">
        <f>VLOOKUP(D60,[2]财务部报表_有人事号!$A$2:$D$400,3,0)</f>
        <v>#N/A</v>
      </c>
      <c r="AN60" s="14" t="e">
        <f>VLOOKUP(D60,[2]财务部报表_有人事号!$A$2:$E$400,4,0)</f>
        <v>#N/A</v>
      </c>
      <c r="AR60" t="s">
        <v>289</v>
      </c>
    </row>
    <row r="61" spans="1:44">
      <c r="A61" s="5"/>
      <c r="B61" s="6"/>
      <c r="C61" s="6"/>
      <c r="D61" s="6"/>
      <c r="E61" s="6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8"/>
      <c r="AM61" s="14" t="e">
        <f>VLOOKUP(D61,[2]财务部报表_有人事号!$A$2:$D$400,3,0)</f>
        <v>#N/A</v>
      </c>
      <c r="AN61" s="14" t="e">
        <f>VLOOKUP(D61,[2]财务部报表_有人事号!$A$2:$E$400,4,0)</f>
        <v>#N/A</v>
      </c>
      <c r="AR61" t="s">
        <v>289</v>
      </c>
    </row>
    <row r="62" spans="1:44">
      <c r="A62" s="5"/>
      <c r="B62" s="6"/>
      <c r="C62" s="6"/>
      <c r="D62" s="6"/>
      <c r="E62" s="6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8"/>
      <c r="AM62" s="14" t="e">
        <f>VLOOKUP(D62,[2]财务部报表_有人事号!$A$2:$D$400,3,0)</f>
        <v>#N/A</v>
      </c>
      <c r="AN62" s="14" t="e">
        <f>VLOOKUP(D62,[2]财务部报表_有人事号!$A$2:$E$400,4,0)</f>
        <v>#N/A</v>
      </c>
      <c r="AR62" t="s">
        <v>289</v>
      </c>
    </row>
    <row r="63" spans="1:44">
      <c r="A63" s="5"/>
      <c r="B63" s="6"/>
      <c r="C63" s="6"/>
      <c r="D63" s="6"/>
      <c r="E63" s="6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8"/>
      <c r="AM63" s="14" t="e">
        <f>VLOOKUP(D63,[2]财务部报表_有人事号!$A$2:$D$400,3,0)</f>
        <v>#N/A</v>
      </c>
      <c r="AN63" s="14" t="e">
        <f>VLOOKUP(D63,[2]财务部报表_有人事号!$A$2:$E$400,4,0)</f>
        <v>#N/A</v>
      </c>
      <c r="AR63" t="s">
        <v>289</v>
      </c>
    </row>
    <row r="64" spans="1:44">
      <c r="A64" s="5"/>
      <c r="B64" s="6"/>
      <c r="C64" s="6"/>
      <c r="D64" s="6"/>
      <c r="E64" s="6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8"/>
      <c r="AM64" s="14" t="e">
        <f>VLOOKUP(D64,[2]财务部报表_有人事号!$A$2:$D$400,3,0)</f>
        <v>#N/A</v>
      </c>
      <c r="AN64" s="14" t="e">
        <f>VLOOKUP(D64,[2]财务部报表_有人事号!$A$2:$E$400,4,0)</f>
        <v>#N/A</v>
      </c>
      <c r="AR64" t="s">
        <v>289</v>
      </c>
    </row>
    <row r="65" spans="1:44">
      <c r="A65" s="5"/>
      <c r="B65" s="6"/>
      <c r="C65" s="6"/>
      <c r="D65" s="6"/>
      <c r="E65" s="6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8"/>
      <c r="AM65" s="14" t="e">
        <f>VLOOKUP(D65,[2]财务部报表_有人事号!$A$2:$D$400,3,0)</f>
        <v>#N/A</v>
      </c>
      <c r="AN65" s="14" t="e">
        <f>VLOOKUP(D65,[2]财务部报表_有人事号!$A$2:$E$400,4,0)</f>
        <v>#N/A</v>
      </c>
      <c r="AR65" t="s">
        <v>289</v>
      </c>
    </row>
    <row r="66" spans="1:44">
      <c r="A66" s="5"/>
      <c r="B66" s="6"/>
      <c r="C66" s="6"/>
      <c r="D66" s="6"/>
      <c r="E66" s="6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8"/>
      <c r="AM66" s="14" t="e">
        <f>VLOOKUP(D66,[2]财务部报表_有人事号!$A$2:$D$400,3,0)</f>
        <v>#N/A</v>
      </c>
      <c r="AN66" s="14" t="e">
        <f>VLOOKUP(D66,[2]财务部报表_有人事号!$A$2:$E$400,4,0)</f>
        <v>#N/A</v>
      </c>
      <c r="AR66" t="s">
        <v>289</v>
      </c>
    </row>
    <row r="67" spans="1:44">
      <c r="A67" s="5"/>
      <c r="B67" s="6"/>
      <c r="C67" s="6"/>
      <c r="D67" s="6"/>
      <c r="E67" s="6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8"/>
      <c r="AM67" s="14" t="e">
        <f>VLOOKUP(D67,[2]财务部报表_有人事号!$A$2:$D$400,3,0)</f>
        <v>#N/A</v>
      </c>
      <c r="AN67" s="14" t="e">
        <f>VLOOKUP(D67,[2]财务部报表_有人事号!$A$2:$E$400,4,0)</f>
        <v>#N/A</v>
      </c>
      <c r="AR67" t="s">
        <v>289</v>
      </c>
    </row>
    <row r="68" spans="1:44">
      <c r="A68" s="5"/>
      <c r="B68" s="6"/>
      <c r="C68" s="6"/>
      <c r="D68" s="6"/>
      <c r="E68" s="6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8"/>
      <c r="AM68" s="14" t="e">
        <f>VLOOKUP(D68,[2]财务部报表_有人事号!$A$2:$D$400,3,0)</f>
        <v>#N/A</v>
      </c>
      <c r="AN68" s="14" t="e">
        <f>VLOOKUP(D68,[2]财务部报表_有人事号!$A$2:$E$400,4,0)</f>
        <v>#N/A</v>
      </c>
      <c r="AR68" t="s">
        <v>289</v>
      </c>
    </row>
    <row r="69" spans="1:44">
      <c r="A69" s="5"/>
      <c r="B69" s="6"/>
      <c r="C69" s="6"/>
      <c r="D69" s="6"/>
      <c r="E69" s="6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8"/>
      <c r="AM69" s="14" t="e">
        <f>VLOOKUP(D69,[2]财务部报表_有人事号!$A$2:$D$400,3,0)</f>
        <v>#N/A</v>
      </c>
      <c r="AN69" s="14" t="e">
        <f>VLOOKUP(D69,[2]财务部报表_有人事号!$A$2:$E$400,4,0)</f>
        <v>#N/A</v>
      </c>
      <c r="AR69" t="s">
        <v>289</v>
      </c>
    </row>
    <row r="70" spans="1:44">
      <c r="A70" s="5"/>
      <c r="B70" s="6"/>
      <c r="C70" s="6"/>
      <c r="D70" s="6"/>
      <c r="E70" s="6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8"/>
      <c r="AM70" s="14" t="e">
        <f>VLOOKUP(D70,[2]财务部报表_有人事号!$A$2:$D$400,3,0)</f>
        <v>#N/A</v>
      </c>
      <c r="AN70" s="14" t="e">
        <f>VLOOKUP(D70,[2]财务部报表_有人事号!$A$2:$E$400,4,0)</f>
        <v>#N/A</v>
      </c>
      <c r="AR70" t="s">
        <v>289</v>
      </c>
    </row>
    <row r="71" spans="1:44">
      <c r="A71" s="5"/>
      <c r="B71" s="6"/>
      <c r="C71" s="6"/>
      <c r="D71" s="6"/>
      <c r="E71" s="6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8"/>
      <c r="AM71" s="14" t="e">
        <f>VLOOKUP(D71,[2]财务部报表_有人事号!$A$2:$D$400,3,0)</f>
        <v>#N/A</v>
      </c>
      <c r="AN71" s="14" t="e">
        <f>VLOOKUP(D71,[2]财务部报表_有人事号!$A$2:$E$400,4,0)</f>
        <v>#N/A</v>
      </c>
      <c r="AR71" t="s">
        <v>289</v>
      </c>
    </row>
    <row r="72" spans="1:44">
      <c r="A72" s="5"/>
      <c r="B72" s="6"/>
      <c r="C72" s="6"/>
      <c r="D72" s="6"/>
      <c r="E72" s="6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8"/>
      <c r="AM72" s="14" t="e">
        <f>VLOOKUP(D72,[2]财务部报表_有人事号!$A$2:$D$400,3,0)</f>
        <v>#N/A</v>
      </c>
      <c r="AN72" s="14" t="e">
        <f>VLOOKUP(D72,[2]财务部报表_有人事号!$A$2:$E$400,4,0)</f>
        <v>#N/A</v>
      </c>
      <c r="AR72" t="s">
        <v>289</v>
      </c>
    </row>
    <row r="73" spans="1:44">
      <c r="A73" s="5"/>
      <c r="B73" s="6"/>
      <c r="C73" s="6"/>
      <c r="D73" s="6"/>
      <c r="E73" s="6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8"/>
      <c r="AM73" s="14" t="e">
        <f>VLOOKUP(D73,[2]财务部报表_有人事号!$A$2:$D$400,3,0)</f>
        <v>#N/A</v>
      </c>
      <c r="AN73" s="14" t="e">
        <f>VLOOKUP(D73,[2]财务部报表_有人事号!$A$2:$E$400,4,0)</f>
        <v>#N/A</v>
      </c>
      <c r="AR73" t="s">
        <v>289</v>
      </c>
    </row>
    <row r="74" spans="1:44">
      <c r="A74" s="5"/>
      <c r="B74" s="6"/>
      <c r="C74" s="6"/>
      <c r="D74" s="6"/>
      <c r="E74" s="6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8"/>
      <c r="AM74" s="14" t="e">
        <f>VLOOKUP(D74,[2]财务部报表_有人事号!$A$2:$D$400,3,0)</f>
        <v>#N/A</v>
      </c>
      <c r="AN74" s="14" t="e">
        <f>VLOOKUP(D74,[2]财务部报表_有人事号!$A$2:$E$400,4,0)</f>
        <v>#N/A</v>
      </c>
      <c r="AR74" t="s">
        <v>289</v>
      </c>
    </row>
    <row r="75" spans="1:44">
      <c r="A75" s="5"/>
      <c r="B75" s="6"/>
      <c r="C75" s="6"/>
      <c r="D75" s="6"/>
      <c r="E75" s="6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8"/>
      <c r="AM75" s="14" t="e">
        <f>VLOOKUP(D75,[2]财务部报表_有人事号!$A$2:$D$400,3,0)</f>
        <v>#N/A</v>
      </c>
      <c r="AN75" s="14" t="e">
        <f>VLOOKUP(D75,[2]财务部报表_有人事号!$A$2:$E$400,4,0)</f>
        <v>#N/A</v>
      </c>
      <c r="AR75" t="s">
        <v>289</v>
      </c>
    </row>
    <row r="76" spans="1:44">
      <c r="A76" s="5"/>
      <c r="B76" s="6"/>
      <c r="C76" s="6"/>
      <c r="D76" s="6"/>
      <c r="E76" s="6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8"/>
      <c r="AM76" s="14" t="e">
        <f>VLOOKUP(D76,[2]财务部报表_有人事号!$A$2:$D$400,3,0)</f>
        <v>#N/A</v>
      </c>
      <c r="AN76" s="14" t="e">
        <f>VLOOKUP(D76,[2]财务部报表_有人事号!$A$2:$E$400,4,0)</f>
        <v>#N/A</v>
      </c>
      <c r="AR76" t="s">
        <v>289</v>
      </c>
    </row>
    <row r="77" spans="1:44">
      <c r="A77" s="5"/>
      <c r="B77" s="6"/>
      <c r="C77" s="6"/>
      <c r="D77" s="6"/>
      <c r="E77" s="6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8"/>
      <c r="AM77" s="14" t="e">
        <f>VLOOKUP(D77,[2]财务部报表_有人事号!$A$2:$D$400,3,0)</f>
        <v>#N/A</v>
      </c>
      <c r="AN77" s="14" t="e">
        <f>VLOOKUP(D77,[2]财务部报表_有人事号!$A$2:$E$400,4,0)</f>
        <v>#N/A</v>
      </c>
      <c r="AR77" t="s">
        <v>289</v>
      </c>
    </row>
    <row r="78" spans="1:44">
      <c r="A78" s="5"/>
      <c r="B78" s="6"/>
      <c r="C78" s="6"/>
      <c r="D78" s="6"/>
      <c r="E78" s="6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8"/>
      <c r="AM78" s="14" t="e">
        <f>VLOOKUP(D78,[2]财务部报表_有人事号!$A$2:$D$400,3,0)</f>
        <v>#N/A</v>
      </c>
      <c r="AN78" s="14" t="e">
        <f>VLOOKUP(D78,[2]财务部报表_有人事号!$A$2:$E$400,4,0)</f>
        <v>#N/A</v>
      </c>
      <c r="AR78" t="s">
        <v>289</v>
      </c>
    </row>
    <row r="79" spans="1:44">
      <c r="A79" s="5"/>
      <c r="B79" s="6"/>
      <c r="C79" s="6"/>
      <c r="D79" s="6"/>
      <c r="E79" s="6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8"/>
      <c r="AM79" s="14" t="e">
        <f>VLOOKUP(D79,[2]财务部报表_有人事号!$A$2:$D$400,3,0)</f>
        <v>#N/A</v>
      </c>
      <c r="AN79" s="14" t="e">
        <f>VLOOKUP(D79,[2]财务部报表_有人事号!$A$2:$E$400,4,0)</f>
        <v>#N/A</v>
      </c>
      <c r="AR79" t="s">
        <v>289</v>
      </c>
    </row>
    <row r="80" spans="1:44">
      <c r="A80" s="5"/>
      <c r="B80" s="6"/>
      <c r="C80" s="6"/>
      <c r="D80" s="6"/>
      <c r="E80" s="6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8"/>
      <c r="AM80" s="14" t="e">
        <f>VLOOKUP(D80,[2]财务部报表_有人事号!$A$2:$D$400,3,0)</f>
        <v>#N/A</v>
      </c>
      <c r="AN80" s="14" t="e">
        <f>VLOOKUP(D80,[2]财务部报表_有人事号!$A$2:$E$400,4,0)</f>
        <v>#N/A</v>
      </c>
      <c r="AR80" t="s">
        <v>289</v>
      </c>
    </row>
    <row r="81" spans="1:44">
      <c r="A81" s="5"/>
      <c r="B81" s="6"/>
      <c r="C81" s="6"/>
      <c r="D81" s="6"/>
      <c r="E81" s="6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8"/>
      <c r="AM81" s="14" t="e">
        <f>VLOOKUP(D81,[2]财务部报表_有人事号!$A$2:$D$400,3,0)</f>
        <v>#N/A</v>
      </c>
      <c r="AN81" s="14" t="e">
        <f>VLOOKUP(D81,[2]财务部报表_有人事号!$A$2:$E$400,4,0)</f>
        <v>#N/A</v>
      </c>
      <c r="AR81" t="s">
        <v>289</v>
      </c>
    </row>
    <row r="82" spans="1:44">
      <c r="A82" s="5"/>
      <c r="B82" s="6"/>
      <c r="C82" s="6"/>
      <c r="D82" s="6"/>
      <c r="E82" s="6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8"/>
      <c r="AM82" s="14" t="e">
        <f>VLOOKUP(D82,[2]财务部报表_有人事号!$A$2:$D$400,3,0)</f>
        <v>#N/A</v>
      </c>
      <c r="AN82" s="14" t="e">
        <f>VLOOKUP(D82,[2]财务部报表_有人事号!$A$2:$E$400,4,0)</f>
        <v>#N/A</v>
      </c>
      <c r="AR82" t="s">
        <v>289</v>
      </c>
    </row>
    <row r="83" spans="1:44">
      <c r="A83" s="5"/>
      <c r="B83" s="6"/>
      <c r="C83" s="6"/>
      <c r="D83" s="6"/>
      <c r="E83" s="6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8"/>
      <c r="AM83" s="14" t="e">
        <f>VLOOKUP(D83,[2]财务部报表_有人事号!$A$2:$D$400,3,0)</f>
        <v>#N/A</v>
      </c>
      <c r="AN83" s="14" t="e">
        <f>VLOOKUP(D83,[2]财务部报表_有人事号!$A$2:$E$400,4,0)</f>
        <v>#N/A</v>
      </c>
      <c r="AR83" t="s">
        <v>289</v>
      </c>
    </row>
    <row r="84" spans="1:44">
      <c r="A84" s="5"/>
      <c r="B84" s="6"/>
      <c r="C84" s="6"/>
      <c r="D84" s="6"/>
      <c r="E84" s="6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8"/>
      <c r="AM84" s="14" t="e">
        <f>VLOOKUP(D84,[2]财务部报表_有人事号!$A$2:$D$400,3,0)</f>
        <v>#N/A</v>
      </c>
      <c r="AN84" s="14" t="e">
        <f>VLOOKUP(D84,[2]财务部报表_有人事号!$A$2:$E$400,4,0)</f>
        <v>#N/A</v>
      </c>
      <c r="AR84" t="s">
        <v>289</v>
      </c>
    </row>
    <row r="85" spans="1:44">
      <c r="A85" s="5"/>
      <c r="B85" s="6"/>
      <c r="C85" s="6"/>
      <c r="D85" s="6"/>
      <c r="E85" s="6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8"/>
      <c r="AM85" s="14" t="e">
        <f>VLOOKUP(D85,[2]财务部报表_有人事号!$A$2:$D$400,3,0)</f>
        <v>#N/A</v>
      </c>
      <c r="AN85" s="14" t="e">
        <f>VLOOKUP(D85,[2]财务部报表_有人事号!$A$2:$E$400,4,0)</f>
        <v>#N/A</v>
      </c>
      <c r="AR85" t="s">
        <v>289</v>
      </c>
    </row>
    <row r="86" spans="1:44">
      <c r="A86" s="5"/>
      <c r="B86" s="6"/>
      <c r="C86" s="6"/>
      <c r="D86" s="6"/>
      <c r="E86" s="6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8"/>
      <c r="AM86" s="14" t="e">
        <f>VLOOKUP(D86,[2]财务部报表_有人事号!$A$2:$D$400,3,0)</f>
        <v>#N/A</v>
      </c>
      <c r="AN86" s="14" t="e">
        <f>VLOOKUP(D86,[2]财务部报表_有人事号!$A$2:$E$400,4,0)</f>
        <v>#N/A</v>
      </c>
      <c r="AR86" t="s">
        <v>289</v>
      </c>
    </row>
    <row r="87" spans="1:44">
      <c r="A87" s="5"/>
      <c r="B87" s="6"/>
      <c r="C87" s="6"/>
      <c r="D87" s="6"/>
      <c r="E87" s="6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8"/>
      <c r="AM87" s="14" t="e">
        <f>VLOOKUP(D87,[2]财务部报表_有人事号!$A$2:$D$400,3,0)</f>
        <v>#N/A</v>
      </c>
      <c r="AN87" s="14" t="e">
        <f>VLOOKUP(D87,[2]财务部报表_有人事号!$A$2:$E$400,4,0)</f>
        <v>#N/A</v>
      </c>
      <c r="AR87" t="s">
        <v>289</v>
      </c>
    </row>
    <row r="88" spans="1:44">
      <c r="A88" s="5"/>
      <c r="B88" s="6"/>
      <c r="C88" s="6"/>
      <c r="D88" s="6"/>
      <c r="E88" s="6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8"/>
      <c r="AM88" s="14" t="e">
        <f>VLOOKUP(D88,[2]财务部报表_有人事号!$A$2:$D$400,3,0)</f>
        <v>#N/A</v>
      </c>
      <c r="AN88" s="14" t="e">
        <f>VLOOKUP(D88,[2]财务部报表_有人事号!$A$2:$E$400,4,0)</f>
        <v>#N/A</v>
      </c>
      <c r="AR88" t="s">
        <v>289</v>
      </c>
    </row>
    <row r="89" spans="1:44">
      <c r="A89" s="5"/>
      <c r="B89" s="6"/>
      <c r="C89" s="6"/>
      <c r="D89" s="6"/>
      <c r="E89" s="6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8"/>
      <c r="AM89" s="14" t="e">
        <f>VLOOKUP(D89,[2]财务部报表_有人事号!$A$2:$D$400,3,0)</f>
        <v>#N/A</v>
      </c>
      <c r="AN89" s="14" t="e">
        <f>VLOOKUP(D89,[2]财务部报表_有人事号!$A$2:$E$400,4,0)</f>
        <v>#N/A</v>
      </c>
      <c r="AR89" t="s">
        <v>289</v>
      </c>
    </row>
    <row r="90" spans="1:44">
      <c r="A90" s="5"/>
      <c r="B90" s="6"/>
      <c r="C90" s="6"/>
      <c r="D90" s="6"/>
      <c r="E90" s="6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8"/>
      <c r="AM90" s="14" t="e">
        <f>VLOOKUP(D90,[2]财务部报表_有人事号!$A$2:$D$400,3,0)</f>
        <v>#N/A</v>
      </c>
      <c r="AN90" s="14" t="e">
        <f>VLOOKUP(D90,[2]财务部报表_有人事号!$A$2:$E$400,4,0)</f>
        <v>#N/A</v>
      </c>
      <c r="AR90" t="s">
        <v>289</v>
      </c>
    </row>
    <row r="91" spans="1:44">
      <c r="A91" s="5"/>
      <c r="B91" s="6"/>
      <c r="C91" s="6"/>
      <c r="D91" s="6"/>
      <c r="E91" s="6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8"/>
      <c r="AM91" s="14" t="e">
        <f>VLOOKUP(D91,[2]财务部报表_有人事号!$A$2:$D$400,3,0)</f>
        <v>#N/A</v>
      </c>
      <c r="AN91" s="14" t="e">
        <f>VLOOKUP(D91,[2]财务部报表_有人事号!$A$2:$E$400,4,0)</f>
        <v>#N/A</v>
      </c>
      <c r="AR91" t="s">
        <v>289</v>
      </c>
    </row>
    <row r="92" spans="1:44">
      <c r="A92" s="5"/>
      <c r="B92" s="6"/>
      <c r="C92" s="6"/>
      <c r="D92" s="6"/>
      <c r="E92" s="6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8"/>
      <c r="AM92" s="14" t="e">
        <f>VLOOKUP(D92,[2]财务部报表_有人事号!$A$2:$D$400,3,0)</f>
        <v>#N/A</v>
      </c>
      <c r="AN92" s="14" t="e">
        <f>VLOOKUP(D92,[2]财务部报表_有人事号!$A$2:$E$400,4,0)</f>
        <v>#N/A</v>
      </c>
      <c r="AR92" t="s">
        <v>289</v>
      </c>
    </row>
    <row r="93" spans="1:44">
      <c r="A93" s="5"/>
      <c r="B93" s="6"/>
      <c r="C93" s="6"/>
      <c r="D93" s="6"/>
      <c r="E93" s="6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8"/>
      <c r="AM93" s="14" t="e">
        <f>VLOOKUP(D93,[2]财务部报表_有人事号!$A$2:$D$400,3,0)</f>
        <v>#N/A</v>
      </c>
      <c r="AN93" s="14" t="e">
        <f>VLOOKUP(D93,[2]财务部报表_有人事号!$A$2:$E$400,4,0)</f>
        <v>#N/A</v>
      </c>
      <c r="AR93" t="s">
        <v>289</v>
      </c>
    </row>
    <row r="94" spans="1:44">
      <c r="A94" s="5"/>
      <c r="B94" s="6"/>
      <c r="C94" s="6"/>
      <c r="D94" s="6"/>
      <c r="E94" s="6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8"/>
      <c r="AM94" s="14" t="e">
        <f>VLOOKUP(D94,[2]财务部报表_有人事号!$A$2:$D$400,3,0)</f>
        <v>#N/A</v>
      </c>
      <c r="AN94" s="14" t="e">
        <f>VLOOKUP(D94,[2]财务部报表_有人事号!$A$2:$E$400,4,0)</f>
        <v>#N/A</v>
      </c>
      <c r="AR94" t="s">
        <v>289</v>
      </c>
    </row>
    <row r="95" spans="1:44">
      <c r="A95" s="5"/>
      <c r="B95" s="6"/>
      <c r="C95" s="6"/>
      <c r="D95" s="6"/>
      <c r="E95" s="6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8"/>
      <c r="AM95" s="14" t="e">
        <f>VLOOKUP(D95,[2]财务部报表_有人事号!$A$2:$D$400,3,0)</f>
        <v>#N/A</v>
      </c>
      <c r="AN95" s="14" t="e">
        <f>VLOOKUP(D95,[2]财务部报表_有人事号!$A$2:$E$400,4,0)</f>
        <v>#N/A</v>
      </c>
      <c r="AR95" t="s">
        <v>289</v>
      </c>
    </row>
    <row r="96" spans="1:44">
      <c r="A96" s="5"/>
      <c r="B96" s="6"/>
      <c r="C96" s="6"/>
      <c r="D96" s="6"/>
      <c r="E96" s="6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8"/>
      <c r="AM96" s="14" t="e">
        <f>VLOOKUP(D96,[2]财务部报表_有人事号!$A$2:$D$400,3,0)</f>
        <v>#N/A</v>
      </c>
      <c r="AN96" s="14" t="e">
        <f>VLOOKUP(D96,[2]财务部报表_有人事号!$A$2:$E$400,4,0)</f>
        <v>#N/A</v>
      </c>
      <c r="AR96" t="s">
        <v>289</v>
      </c>
    </row>
    <row r="97" spans="1:44">
      <c r="A97" s="5"/>
      <c r="B97" s="6"/>
      <c r="C97" s="6"/>
      <c r="D97" s="6"/>
      <c r="E97" s="6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8"/>
      <c r="AM97" s="14" t="e">
        <f>VLOOKUP(D97,[2]财务部报表_有人事号!$A$2:$D$400,3,0)</f>
        <v>#N/A</v>
      </c>
      <c r="AN97" s="14" t="e">
        <f>VLOOKUP(D97,[2]财务部报表_有人事号!$A$2:$E$400,4,0)</f>
        <v>#N/A</v>
      </c>
      <c r="AR97" t="s">
        <v>289</v>
      </c>
    </row>
    <row r="98" spans="1:44">
      <c r="A98" s="5"/>
      <c r="B98" s="6"/>
      <c r="C98" s="6"/>
      <c r="D98" s="6"/>
      <c r="E98" s="6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8"/>
      <c r="AM98" s="14" t="e">
        <f>VLOOKUP(D98,[2]财务部报表_有人事号!$A$2:$D$400,3,0)</f>
        <v>#N/A</v>
      </c>
      <c r="AN98" s="14" t="e">
        <f>VLOOKUP(D98,[2]财务部报表_有人事号!$A$2:$E$400,4,0)</f>
        <v>#N/A</v>
      </c>
      <c r="AR98" t="s">
        <v>289</v>
      </c>
    </row>
    <row r="99" spans="1:44">
      <c r="A99" s="5"/>
      <c r="B99" s="6"/>
      <c r="C99" s="6"/>
      <c r="D99" s="6"/>
      <c r="E99" s="6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8"/>
      <c r="AM99" s="14" t="e">
        <f>VLOOKUP(D99,[2]财务部报表_有人事号!$A$2:$D$400,3,0)</f>
        <v>#N/A</v>
      </c>
      <c r="AN99" s="14" t="e">
        <f>VLOOKUP(D99,[2]财务部报表_有人事号!$A$2:$E$400,4,0)</f>
        <v>#N/A</v>
      </c>
      <c r="AR99" t="s">
        <v>289</v>
      </c>
    </row>
    <row r="100" spans="1:44">
      <c r="A100" s="5"/>
      <c r="B100" s="6"/>
      <c r="C100" s="6"/>
      <c r="D100" s="6"/>
      <c r="E100" s="6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8"/>
      <c r="AM100" s="14" t="e">
        <f>VLOOKUP(D100,[2]财务部报表_有人事号!$A$2:$D$400,3,0)</f>
        <v>#N/A</v>
      </c>
      <c r="AN100" s="14" t="e">
        <f>VLOOKUP(D100,[2]财务部报表_有人事号!$A$2:$E$400,4,0)</f>
        <v>#N/A</v>
      </c>
      <c r="AR100" t="s">
        <v>289</v>
      </c>
    </row>
    <row r="101" spans="1:44">
      <c r="A101" s="5"/>
      <c r="B101" s="6"/>
      <c r="C101" s="6"/>
      <c r="D101" s="6"/>
      <c r="E101" s="6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8"/>
      <c r="AM101" s="14" t="e">
        <f>VLOOKUP(D101,[2]财务部报表_有人事号!$A$2:$D$400,3,0)</f>
        <v>#N/A</v>
      </c>
      <c r="AN101" s="14" t="e">
        <f>VLOOKUP(D101,[2]财务部报表_有人事号!$A$2:$E$400,4,0)</f>
        <v>#N/A</v>
      </c>
      <c r="AR101" t="s">
        <v>289</v>
      </c>
    </row>
    <row r="102" spans="1:44">
      <c r="A102" s="5"/>
      <c r="B102" s="6"/>
      <c r="C102" s="6"/>
      <c r="D102" s="6"/>
      <c r="E102" s="6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8"/>
      <c r="AM102" s="14" t="e">
        <f>VLOOKUP(D102,[2]财务部报表_有人事号!$A$2:$D$400,3,0)</f>
        <v>#N/A</v>
      </c>
      <c r="AN102" s="14" t="e">
        <f>VLOOKUP(D102,[2]财务部报表_有人事号!$A$2:$E$400,4,0)</f>
        <v>#N/A</v>
      </c>
      <c r="AR102" t="s">
        <v>289</v>
      </c>
    </row>
    <row r="103" spans="1:44">
      <c r="A103" s="5"/>
      <c r="B103" s="6"/>
      <c r="C103" s="6"/>
      <c r="D103" s="6"/>
      <c r="E103" s="6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8"/>
      <c r="AM103" s="14" t="e">
        <f>VLOOKUP(D103,[2]财务部报表_有人事号!$A$2:$D$400,3,0)</f>
        <v>#N/A</v>
      </c>
      <c r="AN103" s="14" t="e">
        <f>VLOOKUP(D103,[2]财务部报表_有人事号!$A$2:$E$400,4,0)</f>
        <v>#N/A</v>
      </c>
      <c r="AR103" t="s">
        <v>289</v>
      </c>
    </row>
    <row r="104" spans="1:44">
      <c r="A104" s="5"/>
      <c r="B104" s="6"/>
      <c r="C104" s="6"/>
      <c r="D104" s="6"/>
      <c r="E104" s="6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8"/>
      <c r="AM104" s="14" t="e">
        <f>VLOOKUP(D104,[2]财务部报表_有人事号!$A$2:$D$400,3,0)</f>
        <v>#N/A</v>
      </c>
      <c r="AN104" s="14" t="e">
        <f>VLOOKUP(D104,[2]财务部报表_有人事号!$A$2:$E$400,4,0)</f>
        <v>#N/A</v>
      </c>
      <c r="AR104" t="s">
        <v>289</v>
      </c>
    </row>
    <row r="105" spans="1:44">
      <c r="A105" s="5"/>
      <c r="B105" s="6"/>
      <c r="C105" s="6"/>
      <c r="D105" s="6"/>
      <c r="E105" s="6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8"/>
      <c r="AM105" s="14" t="e">
        <f>VLOOKUP(D105,[2]财务部报表_有人事号!$A$2:$D$400,3,0)</f>
        <v>#N/A</v>
      </c>
      <c r="AN105" s="14" t="e">
        <f>VLOOKUP(D105,[2]财务部报表_有人事号!$A$2:$E$400,4,0)</f>
        <v>#N/A</v>
      </c>
      <c r="AR105" t="s">
        <v>289</v>
      </c>
    </row>
    <row r="106" spans="1:44">
      <c r="A106" s="5"/>
      <c r="B106" s="6"/>
      <c r="C106" s="6"/>
      <c r="D106" s="6"/>
      <c r="E106" s="6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8"/>
      <c r="AM106" s="14" t="e">
        <f>VLOOKUP(D106,[2]财务部报表_有人事号!$A$2:$D$400,3,0)</f>
        <v>#N/A</v>
      </c>
      <c r="AN106" s="14" t="e">
        <f>VLOOKUP(D106,[2]财务部报表_有人事号!$A$2:$E$400,4,0)</f>
        <v>#N/A</v>
      </c>
      <c r="AR106" t="s">
        <v>289</v>
      </c>
    </row>
    <row r="107" spans="1:44">
      <c r="A107" s="5"/>
      <c r="B107" s="6"/>
      <c r="C107" s="6"/>
      <c r="D107" s="6"/>
      <c r="E107" s="6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8"/>
      <c r="AM107" s="14" t="e">
        <f>VLOOKUP(D107,[2]财务部报表_有人事号!$A$2:$D$400,3,0)</f>
        <v>#N/A</v>
      </c>
      <c r="AN107" s="14" t="e">
        <f>VLOOKUP(D107,[2]财务部报表_有人事号!$A$2:$E$400,4,0)</f>
        <v>#N/A</v>
      </c>
      <c r="AR107" t="s">
        <v>289</v>
      </c>
    </row>
    <row r="108" spans="1:44">
      <c r="A108" s="5"/>
      <c r="B108" s="6"/>
      <c r="C108" s="6"/>
      <c r="D108" s="6"/>
      <c r="E108" s="6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8"/>
      <c r="AM108" s="14" t="e">
        <f>VLOOKUP(D108,[2]财务部报表_有人事号!$A$2:$D$400,3,0)</f>
        <v>#N/A</v>
      </c>
      <c r="AN108" s="14" t="e">
        <f>VLOOKUP(D108,[2]财务部报表_有人事号!$A$2:$E$400,4,0)</f>
        <v>#N/A</v>
      </c>
      <c r="AR108" t="s">
        <v>289</v>
      </c>
    </row>
    <row r="109" spans="1:44">
      <c r="A109" s="5"/>
      <c r="B109" s="6"/>
      <c r="C109" s="6"/>
      <c r="D109" s="6"/>
      <c r="E109" s="6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8"/>
      <c r="AM109" s="14" t="e">
        <f>VLOOKUP(D109,[2]财务部报表_有人事号!$A$2:$D$400,3,0)</f>
        <v>#N/A</v>
      </c>
      <c r="AN109" s="14" t="e">
        <f>VLOOKUP(D109,[2]财务部报表_有人事号!$A$2:$E$400,4,0)</f>
        <v>#N/A</v>
      </c>
      <c r="AR109" t="s">
        <v>289</v>
      </c>
    </row>
    <row r="110" spans="1:44">
      <c r="A110" s="5"/>
      <c r="B110" s="6"/>
      <c r="C110" s="6"/>
      <c r="D110" s="6"/>
      <c r="E110" s="6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8"/>
      <c r="AM110" s="14" t="e">
        <f>VLOOKUP(D110,[2]财务部报表_有人事号!$A$2:$D$400,3,0)</f>
        <v>#N/A</v>
      </c>
      <c r="AN110" s="14" t="e">
        <f>VLOOKUP(D110,[2]财务部报表_有人事号!$A$2:$E$400,4,0)</f>
        <v>#N/A</v>
      </c>
      <c r="AR110" t="s">
        <v>289</v>
      </c>
    </row>
    <row r="111" spans="1:44">
      <c r="A111" s="5"/>
      <c r="B111" s="6"/>
      <c r="C111" s="6"/>
      <c r="D111" s="6"/>
      <c r="E111" s="6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8"/>
      <c r="AM111" s="14" t="e">
        <f>VLOOKUP(D111,[2]财务部报表_有人事号!$A$2:$D$400,3,0)</f>
        <v>#N/A</v>
      </c>
      <c r="AN111" s="14" t="e">
        <f>VLOOKUP(D111,[2]财务部报表_有人事号!$A$2:$E$400,4,0)</f>
        <v>#N/A</v>
      </c>
      <c r="AR111" t="s">
        <v>289</v>
      </c>
    </row>
    <row r="112" spans="1:44">
      <c r="A112" s="5"/>
      <c r="B112" s="6"/>
      <c r="C112" s="6"/>
      <c r="D112" s="6"/>
      <c r="E112" s="6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8"/>
      <c r="AM112" s="14" t="e">
        <f>VLOOKUP(D112,[2]财务部报表_有人事号!$A$2:$D$400,3,0)</f>
        <v>#N/A</v>
      </c>
      <c r="AN112" s="14" t="e">
        <f>VLOOKUP(D112,[2]财务部报表_有人事号!$A$2:$E$400,4,0)</f>
        <v>#N/A</v>
      </c>
      <c r="AR112" t="s">
        <v>289</v>
      </c>
    </row>
    <row r="113" spans="1:44">
      <c r="A113" s="5"/>
      <c r="B113" s="6"/>
      <c r="C113" s="6"/>
      <c r="D113" s="6"/>
      <c r="E113" s="6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8"/>
      <c r="AM113" s="14" t="e">
        <f>VLOOKUP(D113,[2]财务部报表_有人事号!$A$2:$D$400,3,0)</f>
        <v>#N/A</v>
      </c>
      <c r="AN113" s="14" t="e">
        <f>VLOOKUP(D113,[2]财务部报表_有人事号!$A$2:$E$400,4,0)</f>
        <v>#N/A</v>
      </c>
      <c r="AR113" t="s">
        <v>289</v>
      </c>
    </row>
    <row r="114" spans="1:44">
      <c r="A114" s="5"/>
      <c r="B114" s="6"/>
      <c r="C114" s="6"/>
      <c r="D114" s="6"/>
      <c r="E114" s="6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8"/>
      <c r="AM114" s="14" t="e">
        <f>VLOOKUP(D114,[2]财务部报表_有人事号!$A$2:$D$400,3,0)</f>
        <v>#N/A</v>
      </c>
      <c r="AN114" s="14" t="e">
        <f>VLOOKUP(D114,[2]财务部报表_有人事号!$A$2:$E$400,4,0)</f>
        <v>#N/A</v>
      </c>
      <c r="AR114" t="s">
        <v>289</v>
      </c>
    </row>
    <row r="115" spans="1:44">
      <c r="A115" s="5"/>
      <c r="B115" s="6"/>
      <c r="C115" s="6"/>
      <c r="D115" s="6"/>
      <c r="E115" s="6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8"/>
      <c r="AM115" s="14" t="e">
        <f>VLOOKUP(D115,[2]财务部报表_有人事号!$A$2:$D$400,3,0)</f>
        <v>#N/A</v>
      </c>
      <c r="AN115" s="14" t="e">
        <f>VLOOKUP(D115,[2]财务部报表_有人事号!$A$2:$E$400,4,0)</f>
        <v>#N/A</v>
      </c>
      <c r="AR115" t="s">
        <v>289</v>
      </c>
    </row>
    <row r="116" spans="1:44">
      <c r="A116" s="5"/>
      <c r="B116" s="6"/>
      <c r="C116" s="6"/>
      <c r="D116" s="6"/>
      <c r="E116" s="6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8"/>
      <c r="AM116" s="14" t="e">
        <f>VLOOKUP(D116,[2]财务部报表_有人事号!$A$2:$D$400,3,0)</f>
        <v>#N/A</v>
      </c>
      <c r="AN116" s="14" t="e">
        <f>VLOOKUP(D116,[2]财务部报表_有人事号!$A$2:$E$400,4,0)</f>
        <v>#N/A</v>
      </c>
      <c r="AR116" t="s">
        <v>289</v>
      </c>
    </row>
    <row r="117" spans="1:44">
      <c r="A117" s="5"/>
      <c r="B117" s="6"/>
      <c r="C117" s="6"/>
      <c r="D117" s="6"/>
      <c r="E117" s="6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8"/>
      <c r="AM117" s="14" t="e">
        <f>VLOOKUP(D117,[2]财务部报表_有人事号!$A$2:$D$400,3,0)</f>
        <v>#N/A</v>
      </c>
      <c r="AN117" s="14" t="e">
        <f>VLOOKUP(D117,[2]财务部报表_有人事号!$A$2:$E$400,4,0)</f>
        <v>#N/A</v>
      </c>
      <c r="AR117" t="s">
        <v>289</v>
      </c>
    </row>
    <row r="118" spans="1:44">
      <c r="A118" s="5"/>
      <c r="B118" s="6"/>
      <c r="C118" s="6"/>
      <c r="D118" s="6"/>
      <c r="E118" s="6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8"/>
      <c r="AM118" s="14" t="e">
        <f>VLOOKUP(D118,[2]财务部报表_有人事号!$A$2:$D$400,3,0)</f>
        <v>#N/A</v>
      </c>
      <c r="AN118" s="14" t="e">
        <f>VLOOKUP(D118,[2]财务部报表_有人事号!$A$2:$E$400,4,0)</f>
        <v>#N/A</v>
      </c>
      <c r="AR118" t="s">
        <v>289</v>
      </c>
    </row>
    <row r="119" spans="1:44">
      <c r="A119" s="5"/>
      <c r="B119" s="6"/>
      <c r="C119" s="6"/>
      <c r="D119" s="6"/>
      <c r="E119" s="6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8"/>
      <c r="AM119" s="14" t="e">
        <f>VLOOKUP(D119,[2]财务部报表_有人事号!$A$2:$D$400,3,0)</f>
        <v>#N/A</v>
      </c>
      <c r="AN119" s="14" t="e">
        <f>VLOOKUP(D119,[2]财务部报表_有人事号!$A$2:$E$400,4,0)</f>
        <v>#N/A</v>
      </c>
      <c r="AR119" t="s">
        <v>289</v>
      </c>
    </row>
    <row r="120" spans="1:44">
      <c r="A120" s="5"/>
      <c r="B120" s="6"/>
      <c r="C120" s="6"/>
      <c r="D120" s="6"/>
      <c r="E120" s="6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8"/>
      <c r="AM120" s="14" t="e">
        <f>VLOOKUP(D120,[2]财务部报表_有人事号!$A$2:$D$400,3,0)</f>
        <v>#N/A</v>
      </c>
      <c r="AN120" s="14" t="e">
        <f>VLOOKUP(D120,[2]财务部报表_有人事号!$A$2:$E$400,4,0)</f>
        <v>#N/A</v>
      </c>
      <c r="AR120" t="s">
        <v>289</v>
      </c>
    </row>
    <row r="121" spans="1:44">
      <c r="A121" s="5"/>
      <c r="B121" s="6"/>
      <c r="C121" s="6"/>
      <c r="D121" s="6"/>
      <c r="E121" s="6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8"/>
      <c r="AM121" s="14" t="e">
        <f>VLOOKUP(D121,[2]财务部报表_有人事号!$A$2:$D$400,3,0)</f>
        <v>#N/A</v>
      </c>
      <c r="AN121" s="14" t="e">
        <f>VLOOKUP(D121,[2]财务部报表_有人事号!$A$2:$E$400,4,0)</f>
        <v>#N/A</v>
      </c>
      <c r="AR121" t="s">
        <v>289</v>
      </c>
    </row>
    <row r="122" spans="1:44">
      <c r="A122" s="5"/>
      <c r="B122" s="6"/>
      <c r="C122" s="6"/>
      <c r="D122" s="6"/>
      <c r="E122" s="6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8"/>
      <c r="AM122" s="14" t="e">
        <f>VLOOKUP(D122,[2]财务部报表_有人事号!$A$2:$D$400,3,0)</f>
        <v>#N/A</v>
      </c>
      <c r="AN122" s="14" t="e">
        <f>VLOOKUP(D122,[2]财务部报表_有人事号!$A$2:$E$400,4,0)</f>
        <v>#N/A</v>
      </c>
      <c r="AR122" t="s">
        <v>289</v>
      </c>
    </row>
    <row r="123" spans="1:44">
      <c r="A123" s="5"/>
      <c r="B123" s="6"/>
      <c r="C123" s="6"/>
      <c r="D123" s="6"/>
      <c r="E123" s="6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8"/>
      <c r="AM123" s="14" t="e">
        <f>VLOOKUP(D123,[2]财务部报表_有人事号!$A$2:$D$400,3,0)</f>
        <v>#N/A</v>
      </c>
      <c r="AN123" s="14" t="e">
        <f>VLOOKUP(D123,[2]财务部报表_有人事号!$A$2:$E$400,4,0)</f>
        <v>#N/A</v>
      </c>
      <c r="AR123" t="s">
        <v>289</v>
      </c>
    </row>
    <row r="124" spans="1:44">
      <c r="A124" s="5"/>
      <c r="B124" s="6"/>
      <c r="C124" s="6"/>
      <c r="D124" s="6"/>
      <c r="E124" s="6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8"/>
      <c r="AM124" s="14" t="e">
        <f>VLOOKUP(D124,[2]财务部报表_有人事号!$A$2:$D$400,3,0)</f>
        <v>#N/A</v>
      </c>
      <c r="AN124" s="14" t="e">
        <f>VLOOKUP(D124,[2]财务部报表_有人事号!$A$2:$E$400,4,0)</f>
        <v>#N/A</v>
      </c>
      <c r="AR124" t="s">
        <v>289</v>
      </c>
    </row>
    <row r="125" spans="1:44">
      <c r="A125" s="5"/>
      <c r="B125" s="6"/>
      <c r="C125" s="6"/>
      <c r="D125" s="6"/>
      <c r="E125" s="6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8"/>
      <c r="AM125" s="14" t="e">
        <f>VLOOKUP(D125,[2]财务部报表_有人事号!$A$2:$D$400,3,0)</f>
        <v>#N/A</v>
      </c>
      <c r="AN125" s="14" t="e">
        <f>VLOOKUP(D125,[2]财务部报表_有人事号!$A$2:$E$400,4,0)</f>
        <v>#N/A</v>
      </c>
      <c r="AR125" t="s">
        <v>289</v>
      </c>
    </row>
    <row r="126" spans="1:44">
      <c r="A126" s="5"/>
      <c r="B126" s="6"/>
      <c r="C126" s="6"/>
      <c r="D126" s="6"/>
      <c r="E126" s="6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8"/>
      <c r="AM126" s="14" t="e">
        <f>VLOOKUP(D126,[2]财务部报表_有人事号!$A$2:$D$400,3,0)</f>
        <v>#N/A</v>
      </c>
      <c r="AN126" s="14" t="e">
        <f>VLOOKUP(D126,[2]财务部报表_有人事号!$A$2:$E$400,4,0)</f>
        <v>#N/A</v>
      </c>
      <c r="AR126" t="s">
        <v>289</v>
      </c>
    </row>
    <row r="127" spans="1:44">
      <c r="A127" s="5"/>
      <c r="B127" s="6"/>
      <c r="C127" s="6"/>
      <c r="D127" s="6"/>
      <c r="E127" s="6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8"/>
      <c r="AM127" s="14" t="e">
        <f>VLOOKUP(D127,[2]财务部报表_有人事号!$A$2:$D$400,3,0)</f>
        <v>#N/A</v>
      </c>
      <c r="AN127" s="14" t="e">
        <f>VLOOKUP(D127,[2]财务部报表_有人事号!$A$2:$E$400,4,0)</f>
        <v>#N/A</v>
      </c>
      <c r="AR127" t="s">
        <v>289</v>
      </c>
    </row>
    <row r="128" spans="1:44">
      <c r="A128" s="5"/>
      <c r="B128" s="6"/>
      <c r="C128" s="6"/>
      <c r="D128" s="6"/>
      <c r="E128" s="6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8"/>
      <c r="AM128" s="14" t="e">
        <f>VLOOKUP(D128,[2]财务部报表_有人事号!$A$2:$D$400,3,0)</f>
        <v>#N/A</v>
      </c>
      <c r="AN128" s="14" t="e">
        <f>VLOOKUP(D128,[2]财务部报表_有人事号!$A$2:$E$400,4,0)</f>
        <v>#N/A</v>
      </c>
      <c r="AR128" t="s">
        <v>289</v>
      </c>
    </row>
    <row r="129" spans="1:44">
      <c r="A129" s="5"/>
      <c r="B129" s="6"/>
      <c r="C129" s="6"/>
      <c r="D129" s="6"/>
      <c r="E129" s="6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8"/>
      <c r="AM129" s="14" t="e">
        <f>VLOOKUP(D129,[2]财务部报表_有人事号!$A$2:$D$400,3,0)</f>
        <v>#N/A</v>
      </c>
      <c r="AN129" s="14" t="e">
        <f>VLOOKUP(D129,[2]财务部报表_有人事号!$A$2:$E$400,4,0)</f>
        <v>#N/A</v>
      </c>
      <c r="AR129" t="s">
        <v>289</v>
      </c>
    </row>
    <row r="130" spans="1:44">
      <c r="A130" s="5"/>
      <c r="B130" s="6"/>
      <c r="C130" s="6"/>
      <c r="D130" s="6"/>
      <c r="E130" s="6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8"/>
      <c r="AM130" s="14" t="e">
        <f>VLOOKUP(D130,[2]财务部报表_有人事号!$A$2:$D$400,3,0)</f>
        <v>#N/A</v>
      </c>
      <c r="AN130" s="14" t="e">
        <f>VLOOKUP(D130,[2]财务部报表_有人事号!$A$2:$E$400,4,0)</f>
        <v>#N/A</v>
      </c>
      <c r="AR130" t="s">
        <v>289</v>
      </c>
    </row>
    <row r="131" spans="1:44">
      <c r="A131" s="5"/>
      <c r="B131" s="6"/>
      <c r="C131" s="6"/>
      <c r="D131" s="6"/>
      <c r="E131" s="6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8"/>
      <c r="AM131" s="14" t="e">
        <f>VLOOKUP(D131,[2]财务部报表_有人事号!$A$2:$D$400,3,0)</f>
        <v>#N/A</v>
      </c>
      <c r="AN131" s="14" t="e">
        <f>VLOOKUP(D131,[2]财务部报表_有人事号!$A$2:$E$400,4,0)</f>
        <v>#N/A</v>
      </c>
      <c r="AR131" t="s">
        <v>289</v>
      </c>
    </row>
    <row r="132" spans="1:44">
      <c r="A132" s="5"/>
      <c r="B132" s="6"/>
      <c r="C132" s="6"/>
      <c r="D132" s="6"/>
      <c r="E132" s="6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8"/>
      <c r="AM132" s="14" t="e">
        <f>VLOOKUP(D132,[2]财务部报表_有人事号!$A$2:$D$400,3,0)</f>
        <v>#N/A</v>
      </c>
      <c r="AN132" s="14" t="e">
        <f>VLOOKUP(D132,[2]财务部报表_有人事号!$A$2:$E$400,4,0)</f>
        <v>#N/A</v>
      </c>
      <c r="AR132" t="s">
        <v>289</v>
      </c>
    </row>
    <row r="133" spans="1:44">
      <c r="A133" s="5"/>
      <c r="B133" s="6"/>
      <c r="C133" s="6"/>
      <c r="D133" s="6"/>
      <c r="E133" s="6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8"/>
      <c r="AM133" s="14" t="e">
        <f>VLOOKUP(D133,[2]财务部报表_有人事号!$A$2:$D$400,3,0)</f>
        <v>#N/A</v>
      </c>
      <c r="AN133" s="14" t="e">
        <f>VLOOKUP(D133,[2]财务部报表_有人事号!$A$2:$E$400,4,0)</f>
        <v>#N/A</v>
      </c>
      <c r="AR133" t="s">
        <v>289</v>
      </c>
    </row>
    <row r="134" spans="1:44">
      <c r="A134" s="5"/>
      <c r="B134" s="6"/>
      <c r="C134" s="6"/>
      <c r="D134" s="6"/>
      <c r="E134" s="6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8"/>
      <c r="AM134" s="14" t="e">
        <f>VLOOKUP(D134,[2]财务部报表_有人事号!$A$2:$D$400,3,0)</f>
        <v>#N/A</v>
      </c>
      <c r="AN134" s="14" t="e">
        <f>VLOOKUP(D134,[2]财务部报表_有人事号!$A$2:$E$400,4,0)</f>
        <v>#N/A</v>
      </c>
      <c r="AR134" t="s">
        <v>289</v>
      </c>
    </row>
    <row r="135" spans="1:44">
      <c r="A135" s="5"/>
      <c r="B135" s="6"/>
      <c r="C135" s="6"/>
      <c r="D135" s="6"/>
      <c r="E135" s="6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8"/>
      <c r="AM135" s="14" t="e">
        <f>VLOOKUP(D135,[2]财务部报表_有人事号!$A$2:$D$400,3,0)</f>
        <v>#N/A</v>
      </c>
      <c r="AN135" s="14" t="e">
        <f>VLOOKUP(D135,[2]财务部报表_有人事号!$A$2:$E$400,4,0)</f>
        <v>#N/A</v>
      </c>
      <c r="AR135" t="s">
        <v>289</v>
      </c>
    </row>
    <row r="136" spans="1:44">
      <c r="A136" s="5"/>
      <c r="B136" s="6"/>
      <c r="C136" s="6"/>
      <c r="D136" s="6"/>
      <c r="E136" s="6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8"/>
      <c r="AM136" s="14" t="e">
        <f>VLOOKUP(D136,[2]财务部报表_有人事号!$A$2:$D$400,3,0)</f>
        <v>#N/A</v>
      </c>
      <c r="AN136" s="14" t="e">
        <f>VLOOKUP(D136,[2]财务部报表_有人事号!$A$2:$E$400,4,0)</f>
        <v>#N/A</v>
      </c>
      <c r="AR136" t="s">
        <v>289</v>
      </c>
    </row>
    <row r="137" spans="1:44">
      <c r="A137" s="5"/>
      <c r="B137" s="6"/>
      <c r="C137" s="6"/>
      <c r="D137" s="6"/>
      <c r="E137" s="6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8"/>
      <c r="AM137" s="14" t="e">
        <f>VLOOKUP(D137,[2]财务部报表_有人事号!$A$2:$D$400,3,0)</f>
        <v>#N/A</v>
      </c>
      <c r="AN137" s="14" t="e">
        <f>VLOOKUP(D137,[2]财务部报表_有人事号!$A$2:$E$400,4,0)</f>
        <v>#N/A</v>
      </c>
      <c r="AR137" t="s">
        <v>289</v>
      </c>
    </row>
    <row r="138" spans="1:44">
      <c r="A138" s="5"/>
      <c r="B138" s="6"/>
      <c r="C138" s="6"/>
      <c r="D138" s="6"/>
      <c r="E138" s="6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8"/>
      <c r="AM138" s="14" t="e">
        <f>VLOOKUP(D138,[2]财务部报表_有人事号!$A$2:$D$400,3,0)</f>
        <v>#N/A</v>
      </c>
      <c r="AN138" s="14" t="e">
        <f>VLOOKUP(D138,[2]财务部报表_有人事号!$A$2:$E$400,4,0)</f>
        <v>#N/A</v>
      </c>
      <c r="AR138" t="s">
        <v>289</v>
      </c>
    </row>
    <row r="139" spans="1:44">
      <c r="A139" s="5"/>
      <c r="B139" s="6"/>
      <c r="C139" s="6"/>
      <c r="D139" s="6"/>
      <c r="E139" s="6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8"/>
      <c r="AM139" s="14" t="e">
        <f>VLOOKUP(D139,[2]财务部报表_有人事号!$A$2:$D$400,3,0)</f>
        <v>#N/A</v>
      </c>
      <c r="AN139" s="14" t="e">
        <f>VLOOKUP(D139,[2]财务部报表_有人事号!$A$2:$E$400,4,0)</f>
        <v>#N/A</v>
      </c>
      <c r="AR139" t="s">
        <v>289</v>
      </c>
    </row>
    <row r="140" spans="1:44">
      <c r="A140" s="5"/>
      <c r="B140" s="6"/>
      <c r="C140" s="6"/>
      <c r="D140" s="6"/>
      <c r="E140" s="6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8"/>
      <c r="AM140" s="14" t="e">
        <f>VLOOKUP(D140,[2]财务部报表_有人事号!$A$2:$D$400,3,0)</f>
        <v>#N/A</v>
      </c>
      <c r="AN140" s="14" t="e">
        <f>VLOOKUP(D140,[2]财务部报表_有人事号!$A$2:$E$400,4,0)</f>
        <v>#N/A</v>
      </c>
      <c r="AR140" t="s">
        <v>289</v>
      </c>
    </row>
    <row r="141" spans="1:44">
      <c r="A141" s="5"/>
      <c r="B141" s="6"/>
      <c r="C141" s="6"/>
      <c r="D141" s="6"/>
      <c r="E141" s="6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8"/>
      <c r="AM141" s="14" t="e">
        <f>VLOOKUP(D141,[2]财务部报表_有人事号!$A$2:$D$400,3,0)</f>
        <v>#N/A</v>
      </c>
      <c r="AN141" s="14" t="e">
        <f>VLOOKUP(D141,[2]财务部报表_有人事号!$A$2:$E$400,4,0)</f>
        <v>#N/A</v>
      </c>
      <c r="AR141" t="s">
        <v>289</v>
      </c>
    </row>
    <row r="142" spans="1:44">
      <c r="A142" s="5"/>
      <c r="B142" s="6"/>
      <c r="C142" s="6"/>
      <c r="D142" s="6"/>
      <c r="E142" s="6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8"/>
      <c r="AM142" s="14" t="e">
        <f>VLOOKUP(D142,[2]财务部报表_有人事号!$A$2:$D$400,3,0)</f>
        <v>#N/A</v>
      </c>
      <c r="AN142" s="14" t="e">
        <f>VLOOKUP(D142,[2]财务部报表_有人事号!$A$2:$E$400,4,0)</f>
        <v>#N/A</v>
      </c>
      <c r="AR142" t="s">
        <v>289</v>
      </c>
    </row>
    <row r="143" spans="1:44">
      <c r="A143" s="5"/>
      <c r="B143" s="6"/>
      <c r="C143" s="6"/>
      <c r="D143" s="6"/>
      <c r="E143" s="6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8"/>
      <c r="AM143" s="14" t="e">
        <f>VLOOKUP(D143,[2]财务部报表_有人事号!$A$2:$D$400,3,0)</f>
        <v>#N/A</v>
      </c>
      <c r="AN143" s="14" t="e">
        <f>VLOOKUP(D143,[2]财务部报表_有人事号!$A$2:$E$400,4,0)</f>
        <v>#N/A</v>
      </c>
      <c r="AR143" t="s">
        <v>289</v>
      </c>
    </row>
    <row r="144" spans="1:44">
      <c r="A144" s="5"/>
      <c r="B144" s="6"/>
      <c r="C144" s="6"/>
      <c r="D144" s="6"/>
      <c r="E144" s="6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8"/>
      <c r="AM144" s="14" t="e">
        <f>VLOOKUP(D144,[2]财务部报表_有人事号!$A$2:$D$400,3,0)</f>
        <v>#N/A</v>
      </c>
      <c r="AN144" s="14" t="e">
        <f>VLOOKUP(D144,[2]财务部报表_有人事号!$A$2:$E$400,4,0)</f>
        <v>#N/A</v>
      </c>
      <c r="AR144" t="s">
        <v>289</v>
      </c>
    </row>
    <row r="145" spans="1:44">
      <c r="A145" s="5"/>
      <c r="B145" s="6"/>
      <c r="C145" s="6"/>
      <c r="D145" s="6"/>
      <c r="E145" s="6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8"/>
      <c r="AM145" s="14" t="e">
        <f>VLOOKUP(D145,[2]财务部报表_有人事号!$A$2:$D$400,3,0)</f>
        <v>#N/A</v>
      </c>
      <c r="AN145" s="14" t="e">
        <f>VLOOKUP(D145,[2]财务部报表_有人事号!$A$2:$E$400,4,0)</f>
        <v>#N/A</v>
      </c>
      <c r="AR145" t="s">
        <v>289</v>
      </c>
    </row>
    <row r="146" spans="1:44">
      <c r="A146" s="5"/>
      <c r="B146" s="6"/>
      <c r="C146" s="6"/>
      <c r="D146" s="6"/>
      <c r="E146" s="6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8"/>
      <c r="AM146" s="14" t="e">
        <f>VLOOKUP(D146,[2]财务部报表_有人事号!$A$2:$D$400,3,0)</f>
        <v>#N/A</v>
      </c>
      <c r="AN146" s="14" t="e">
        <f>VLOOKUP(D146,[2]财务部报表_有人事号!$A$2:$E$400,4,0)</f>
        <v>#N/A</v>
      </c>
      <c r="AR146" t="s">
        <v>289</v>
      </c>
    </row>
    <row r="147" spans="1:44">
      <c r="A147" s="5"/>
      <c r="B147" s="6"/>
      <c r="C147" s="6"/>
      <c r="D147" s="6"/>
      <c r="E147" s="6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8"/>
      <c r="AM147" s="14" t="e">
        <f>VLOOKUP(D147,[2]财务部报表_有人事号!$A$2:$D$400,3,0)</f>
        <v>#N/A</v>
      </c>
      <c r="AN147" s="14" t="e">
        <f>VLOOKUP(D147,[2]财务部报表_有人事号!$A$2:$E$400,4,0)</f>
        <v>#N/A</v>
      </c>
      <c r="AR147" t="s">
        <v>289</v>
      </c>
    </row>
    <row r="148" spans="1:44">
      <c r="A148" s="5"/>
      <c r="B148" s="6"/>
      <c r="C148" s="6"/>
      <c r="D148" s="6"/>
      <c r="E148" s="6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8"/>
      <c r="AM148" s="14" t="e">
        <f>VLOOKUP(D148,[2]财务部报表_有人事号!$A$2:$D$400,3,0)</f>
        <v>#N/A</v>
      </c>
      <c r="AN148" s="14" t="e">
        <f>VLOOKUP(D148,[2]财务部报表_有人事号!$A$2:$E$400,4,0)</f>
        <v>#N/A</v>
      </c>
      <c r="AR148" t="s">
        <v>289</v>
      </c>
    </row>
    <row r="149" spans="1:44">
      <c r="A149" s="5"/>
      <c r="B149" s="6"/>
      <c r="C149" s="6"/>
      <c r="D149" s="6"/>
      <c r="E149" s="6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8"/>
      <c r="AM149" s="14" t="e">
        <f>VLOOKUP(D149,[2]财务部报表_有人事号!$A$2:$D$400,3,0)</f>
        <v>#N/A</v>
      </c>
      <c r="AN149" s="14" t="e">
        <f>VLOOKUP(D149,[2]财务部报表_有人事号!$A$2:$E$400,4,0)</f>
        <v>#N/A</v>
      </c>
      <c r="AR149" t="s">
        <v>289</v>
      </c>
    </row>
    <row r="150" spans="1:44">
      <c r="A150" s="5"/>
      <c r="B150" s="6"/>
      <c r="C150" s="6"/>
      <c r="D150" s="6"/>
      <c r="E150" s="6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8"/>
      <c r="AM150" s="14" t="e">
        <f>VLOOKUP(D150,[2]财务部报表_有人事号!$A$2:$D$400,3,0)</f>
        <v>#N/A</v>
      </c>
      <c r="AN150" s="14" t="e">
        <f>VLOOKUP(D150,[2]财务部报表_有人事号!$A$2:$E$400,4,0)</f>
        <v>#N/A</v>
      </c>
      <c r="AR150" t="s">
        <v>289</v>
      </c>
    </row>
    <row r="151" spans="1:44">
      <c r="A151" s="5"/>
      <c r="B151" s="6"/>
      <c r="C151" s="6"/>
      <c r="D151" s="6"/>
      <c r="E151" s="6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8"/>
      <c r="AM151" s="14" t="e">
        <f>VLOOKUP(D151,[2]财务部报表_有人事号!$A$2:$D$400,3,0)</f>
        <v>#N/A</v>
      </c>
      <c r="AN151" s="14" t="e">
        <f>VLOOKUP(D151,[2]财务部报表_有人事号!$A$2:$E$400,4,0)</f>
        <v>#N/A</v>
      </c>
      <c r="AR151" t="s">
        <v>289</v>
      </c>
    </row>
    <row r="152" spans="1:44">
      <c r="A152" s="5"/>
      <c r="B152" s="6"/>
      <c r="C152" s="6"/>
      <c r="D152" s="6"/>
      <c r="E152" s="6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8"/>
      <c r="AM152" s="14" t="e">
        <f>VLOOKUP(D152,[2]财务部报表_有人事号!$A$2:$D$400,3,0)</f>
        <v>#N/A</v>
      </c>
      <c r="AN152" s="14" t="e">
        <f>VLOOKUP(D152,[2]财务部报表_有人事号!$A$2:$E$400,4,0)</f>
        <v>#N/A</v>
      </c>
      <c r="AR152" t="s">
        <v>289</v>
      </c>
    </row>
    <row r="153" spans="1:44">
      <c r="A153" s="5"/>
      <c r="B153" s="6"/>
      <c r="C153" s="6"/>
      <c r="D153" s="6"/>
      <c r="E153" s="6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8"/>
      <c r="AM153" s="14" t="e">
        <f>VLOOKUP(D153,[2]财务部报表_有人事号!$A$2:$D$400,3,0)</f>
        <v>#N/A</v>
      </c>
      <c r="AN153" s="14" t="e">
        <f>VLOOKUP(D153,[2]财务部报表_有人事号!$A$2:$E$400,4,0)</f>
        <v>#N/A</v>
      </c>
      <c r="AR153" t="s">
        <v>289</v>
      </c>
    </row>
    <row r="154" spans="1:44">
      <c r="A154" s="5"/>
      <c r="B154" s="6"/>
      <c r="C154" s="6"/>
      <c r="D154" s="6"/>
      <c r="E154" s="6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8"/>
      <c r="AM154" s="14" t="e">
        <f>VLOOKUP(D154,[2]财务部报表_有人事号!$A$2:$D$400,3,0)</f>
        <v>#N/A</v>
      </c>
      <c r="AN154" s="14" t="e">
        <f>VLOOKUP(D154,[2]财务部报表_有人事号!$A$2:$E$400,4,0)</f>
        <v>#N/A</v>
      </c>
      <c r="AR154" t="s">
        <v>289</v>
      </c>
    </row>
    <row r="155" spans="1:44">
      <c r="A155" s="5"/>
      <c r="B155" s="6"/>
      <c r="C155" s="6"/>
      <c r="D155" s="6"/>
      <c r="E155" s="6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8"/>
      <c r="AM155" s="14" t="e">
        <f>VLOOKUP(D155,[2]财务部报表_有人事号!$A$2:$D$400,3,0)</f>
        <v>#N/A</v>
      </c>
      <c r="AN155" s="14" t="e">
        <f>VLOOKUP(D155,[2]财务部报表_有人事号!$A$2:$E$400,4,0)</f>
        <v>#N/A</v>
      </c>
      <c r="AR155" t="s">
        <v>289</v>
      </c>
    </row>
    <row r="156" spans="1:44">
      <c r="A156" s="5"/>
      <c r="B156" s="6"/>
      <c r="C156" s="6"/>
      <c r="D156" s="6"/>
      <c r="E156" s="6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8"/>
      <c r="AM156" s="14" t="e">
        <f>VLOOKUP(D156,[2]财务部报表_有人事号!$A$2:$D$400,3,0)</f>
        <v>#N/A</v>
      </c>
      <c r="AN156" s="14" t="e">
        <f>VLOOKUP(D156,[2]财务部报表_有人事号!$A$2:$E$400,4,0)</f>
        <v>#N/A</v>
      </c>
      <c r="AR156" t="s">
        <v>289</v>
      </c>
    </row>
    <row r="157" spans="1:44">
      <c r="A157" s="5"/>
      <c r="B157" s="6"/>
      <c r="C157" s="6"/>
      <c r="D157" s="6"/>
      <c r="E157" s="6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8"/>
      <c r="AM157" s="14" t="e">
        <f>VLOOKUP(D157,[2]财务部报表_有人事号!$A$2:$D$400,3,0)</f>
        <v>#N/A</v>
      </c>
      <c r="AN157" s="14" t="e">
        <f>VLOOKUP(D157,[2]财务部报表_有人事号!$A$2:$E$400,4,0)</f>
        <v>#N/A</v>
      </c>
      <c r="AR157" t="s">
        <v>289</v>
      </c>
    </row>
    <row r="158" spans="1:44">
      <c r="A158" s="5"/>
      <c r="B158" s="6"/>
      <c r="C158" s="6"/>
      <c r="D158" s="6"/>
      <c r="E158" s="6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8"/>
      <c r="AM158" s="14" t="e">
        <f>VLOOKUP(D158,[2]财务部报表_有人事号!$A$2:$D$400,3,0)</f>
        <v>#N/A</v>
      </c>
      <c r="AN158" s="14" t="e">
        <f>VLOOKUP(D158,[2]财务部报表_有人事号!$A$2:$E$400,4,0)</f>
        <v>#N/A</v>
      </c>
      <c r="AR158" t="s">
        <v>289</v>
      </c>
    </row>
    <row r="159" spans="1:44">
      <c r="A159" s="5"/>
      <c r="B159" s="6"/>
      <c r="C159" s="6"/>
      <c r="D159" s="6"/>
      <c r="E159" s="6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8"/>
      <c r="AM159" s="14" t="e">
        <f>VLOOKUP(D159,[2]财务部报表_有人事号!$A$2:$D$400,3,0)</f>
        <v>#N/A</v>
      </c>
      <c r="AN159" s="14" t="e">
        <f>VLOOKUP(D159,[2]财务部报表_有人事号!$A$2:$E$400,4,0)</f>
        <v>#N/A</v>
      </c>
      <c r="AR159" t="s">
        <v>289</v>
      </c>
    </row>
    <row r="160" spans="1:44">
      <c r="A160" s="5"/>
      <c r="B160" s="6"/>
      <c r="C160" s="6"/>
      <c r="D160" s="6"/>
      <c r="E160" s="6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8"/>
      <c r="AM160" s="14" t="e">
        <f>VLOOKUP(D160,[2]财务部报表_有人事号!$A$2:$D$400,3,0)</f>
        <v>#N/A</v>
      </c>
      <c r="AN160" s="14" t="e">
        <f>VLOOKUP(D160,[2]财务部报表_有人事号!$A$2:$E$400,4,0)</f>
        <v>#N/A</v>
      </c>
      <c r="AR160" t="s">
        <v>289</v>
      </c>
    </row>
    <row r="161" spans="1:44">
      <c r="A161" s="5"/>
      <c r="B161" s="6"/>
      <c r="C161" s="6"/>
      <c r="D161" s="6"/>
      <c r="E161" s="6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8"/>
      <c r="AM161" s="14" t="e">
        <f>VLOOKUP(D161,[2]财务部报表_有人事号!$A$2:$D$400,3,0)</f>
        <v>#N/A</v>
      </c>
      <c r="AN161" s="14" t="e">
        <f>VLOOKUP(D161,[2]财务部报表_有人事号!$A$2:$E$400,4,0)</f>
        <v>#N/A</v>
      </c>
      <c r="AR161" t="s">
        <v>289</v>
      </c>
    </row>
    <row r="162" spans="1:44">
      <c r="A162" s="5"/>
      <c r="B162" s="6"/>
      <c r="C162" s="6"/>
      <c r="D162" s="6"/>
      <c r="E162" s="6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8"/>
      <c r="AM162" s="14" t="e">
        <f>VLOOKUP(D162,[2]财务部报表_有人事号!$A$2:$D$400,3,0)</f>
        <v>#N/A</v>
      </c>
      <c r="AN162" s="14" t="e">
        <f>VLOOKUP(D162,[2]财务部报表_有人事号!$A$2:$E$400,4,0)</f>
        <v>#N/A</v>
      </c>
      <c r="AR162" t="s">
        <v>289</v>
      </c>
    </row>
    <row r="163" spans="1:44">
      <c r="A163" s="5"/>
      <c r="B163" s="6"/>
      <c r="C163" s="6"/>
      <c r="D163" s="6"/>
      <c r="E163" s="6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8"/>
      <c r="AM163" s="14" t="e">
        <f>VLOOKUP(D163,[2]财务部报表_有人事号!$A$2:$D$400,3,0)</f>
        <v>#N/A</v>
      </c>
      <c r="AN163" s="14" t="e">
        <f>VLOOKUP(D163,[2]财务部报表_有人事号!$A$2:$E$400,4,0)</f>
        <v>#N/A</v>
      </c>
      <c r="AR163" t="s">
        <v>289</v>
      </c>
    </row>
    <row r="164" spans="1:44">
      <c r="A164" s="5"/>
      <c r="B164" s="6"/>
      <c r="C164" s="6"/>
      <c r="D164" s="6"/>
      <c r="E164" s="6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8"/>
      <c r="AM164" s="14" t="e">
        <f>VLOOKUP(D164,[2]财务部报表_有人事号!$A$2:$D$400,3,0)</f>
        <v>#N/A</v>
      </c>
      <c r="AN164" s="14" t="e">
        <f>VLOOKUP(D164,[2]财务部报表_有人事号!$A$2:$E$400,4,0)</f>
        <v>#N/A</v>
      </c>
      <c r="AR164" t="s">
        <v>289</v>
      </c>
    </row>
    <row r="165" spans="1:44">
      <c r="A165" s="5"/>
      <c r="B165" s="6"/>
      <c r="C165" s="6"/>
      <c r="D165" s="6"/>
      <c r="E165" s="6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8"/>
      <c r="AM165" s="14" t="e">
        <f>VLOOKUP(D165,[2]财务部报表_有人事号!$A$2:$D$400,3,0)</f>
        <v>#N/A</v>
      </c>
      <c r="AN165" s="14" t="e">
        <f>VLOOKUP(D165,[2]财务部报表_有人事号!$A$2:$E$400,4,0)</f>
        <v>#N/A</v>
      </c>
      <c r="AR165" t="s">
        <v>289</v>
      </c>
    </row>
    <row r="166" spans="1:44">
      <c r="A166" s="5"/>
      <c r="B166" s="6"/>
      <c r="C166" s="6"/>
      <c r="D166" s="6"/>
      <c r="E166" s="6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8"/>
      <c r="AM166" s="14" t="e">
        <f>VLOOKUP(D166,[2]财务部报表_有人事号!$A$2:$D$400,3,0)</f>
        <v>#N/A</v>
      </c>
      <c r="AN166" s="14" t="e">
        <f>VLOOKUP(D166,[2]财务部报表_有人事号!$A$2:$E$400,4,0)</f>
        <v>#N/A</v>
      </c>
      <c r="AR166" t="s">
        <v>289</v>
      </c>
    </row>
    <row r="167" spans="1:44">
      <c r="A167" s="5"/>
      <c r="B167" s="6"/>
      <c r="C167" s="6"/>
      <c r="D167" s="6"/>
      <c r="E167" s="6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8"/>
      <c r="AM167" s="14" t="e">
        <f>VLOOKUP(D167,[2]财务部报表_有人事号!$A$2:$D$400,3,0)</f>
        <v>#N/A</v>
      </c>
      <c r="AN167" s="14" t="e">
        <f>VLOOKUP(D167,[2]财务部报表_有人事号!$A$2:$E$400,4,0)</f>
        <v>#N/A</v>
      </c>
      <c r="AR167" t="s">
        <v>289</v>
      </c>
    </row>
    <row r="168" spans="1:44">
      <c r="A168" s="5"/>
      <c r="B168" s="6"/>
      <c r="C168" s="6"/>
      <c r="D168" s="6"/>
      <c r="E168" s="6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8"/>
      <c r="AM168" s="14" t="e">
        <f>VLOOKUP(D168,[2]财务部报表_有人事号!$A$2:$D$400,3,0)</f>
        <v>#N/A</v>
      </c>
      <c r="AN168" s="14" t="e">
        <f>VLOOKUP(D168,[2]财务部报表_有人事号!$A$2:$E$400,4,0)</f>
        <v>#N/A</v>
      </c>
      <c r="AR168" t="s">
        <v>289</v>
      </c>
    </row>
    <row r="169" spans="1:44">
      <c r="A169" s="5"/>
      <c r="B169" s="6"/>
      <c r="C169" s="6"/>
      <c r="D169" s="6"/>
      <c r="E169" s="6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8"/>
      <c r="AM169" s="14" t="e">
        <f>VLOOKUP(D169,[2]财务部报表_有人事号!$A$2:$D$400,3,0)</f>
        <v>#N/A</v>
      </c>
      <c r="AN169" s="14" t="e">
        <f>VLOOKUP(D169,[2]财务部报表_有人事号!$A$2:$E$400,4,0)</f>
        <v>#N/A</v>
      </c>
      <c r="AR169" t="s">
        <v>289</v>
      </c>
    </row>
    <row r="170" spans="1:44">
      <c r="A170" s="5"/>
      <c r="B170" s="6"/>
      <c r="C170" s="6"/>
      <c r="D170" s="6"/>
      <c r="E170" s="6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8"/>
      <c r="AM170" s="14" t="e">
        <f>VLOOKUP(D170,[2]财务部报表_有人事号!$A$2:$D$400,3,0)</f>
        <v>#N/A</v>
      </c>
      <c r="AN170" s="14" t="e">
        <f>VLOOKUP(D170,[2]财务部报表_有人事号!$A$2:$E$400,4,0)</f>
        <v>#N/A</v>
      </c>
      <c r="AR170" t="s">
        <v>289</v>
      </c>
    </row>
    <row r="171" spans="1:44">
      <c r="A171" s="5"/>
      <c r="B171" s="6"/>
      <c r="C171" s="6"/>
      <c r="D171" s="6"/>
      <c r="E171" s="6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8"/>
      <c r="AM171" s="14" t="e">
        <f>VLOOKUP(D171,[2]财务部报表_有人事号!$A$2:$D$400,3,0)</f>
        <v>#N/A</v>
      </c>
      <c r="AN171" s="14" t="e">
        <f>VLOOKUP(D171,[2]财务部报表_有人事号!$A$2:$E$400,4,0)</f>
        <v>#N/A</v>
      </c>
      <c r="AR171" t="s">
        <v>289</v>
      </c>
    </row>
    <row r="172" spans="1:44">
      <c r="A172" s="5"/>
      <c r="B172" s="6"/>
      <c r="C172" s="6"/>
      <c r="D172" s="6"/>
      <c r="E172" s="6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8"/>
      <c r="AM172" s="14" t="e">
        <f>VLOOKUP(D172,[2]财务部报表_有人事号!$A$2:$D$400,3,0)</f>
        <v>#N/A</v>
      </c>
      <c r="AN172" s="14" t="e">
        <f>VLOOKUP(D172,[2]财务部报表_有人事号!$A$2:$E$400,4,0)</f>
        <v>#N/A</v>
      </c>
      <c r="AR172" t="s">
        <v>289</v>
      </c>
    </row>
    <row r="173" spans="1:44">
      <c r="A173" s="5"/>
      <c r="B173" s="6"/>
      <c r="C173" s="6"/>
      <c r="D173" s="6"/>
      <c r="E173" s="6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8"/>
      <c r="AM173" s="14" t="e">
        <f>VLOOKUP(D173,[2]财务部报表_有人事号!$A$2:$D$400,3,0)</f>
        <v>#N/A</v>
      </c>
      <c r="AN173" s="14" t="e">
        <f>VLOOKUP(D173,[2]财务部报表_有人事号!$A$2:$E$400,4,0)</f>
        <v>#N/A</v>
      </c>
      <c r="AR173" t="s">
        <v>289</v>
      </c>
    </row>
    <row r="174" spans="1:44">
      <c r="A174" s="5"/>
      <c r="B174" s="6"/>
      <c r="C174" s="6"/>
      <c r="D174" s="6"/>
      <c r="E174" s="6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8"/>
      <c r="AM174" s="14" t="e">
        <f>VLOOKUP(D174,[2]财务部报表_有人事号!$A$2:$D$400,3,0)</f>
        <v>#N/A</v>
      </c>
      <c r="AN174" s="14" t="e">
        <f>VLOOKUP(D174,[2]财务部报表_有人事号!$A$2:$E$400,4,0)</f>
        <v>#N/A</v>
      </c>
      <c r="AR174" t="s">
        <v>289</v>
      </c>
    </row>
    <row r="175" spans="1:44">
      <c r="A175" s="5"/>
      <c r="B175" s="6"/>
      <c r="C175" s="6"/>
      <c r="D175" s="6"/>
      <c r="E175" s="6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8"/>
      <c r="AM175" s="14" t="e">
        <f>VLOOKUP(D175,[2]财务部报表_有人事号!$A$2:$D$400,3,0)</f>
        <v>#N/A</v>
      </c>
      <c r="AN175" s="14" t="e">
        <f>VLOOKUP(D175,[2]财务部报表_有人事号!$A$2:$E$400,4,0)</f>
        <v>#N/A</v>
      </c>
      <c r="AR175" t="s">
        <v>289</v>
      </c>
    </row>
    <row r="176" spans="1:44">
      <c r="A176" s="5"/>
      <c r="B176" s="6"/>
      <c r="C176" s="6"/>
      <c r="D176" s="6"/>
      <c r="E176" s="6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8"/>
      <c r="AM176" s="14" t="e">
        <f>VLOOKUP(D176,[2]财务部报表_有人事号!$A$2:$D$400,3,0)</f>
        <v>#N/A</v>
      </c>
      <c r="AN176" s="14" t="e">
        <f>VLOOKUP(D176,[2]财务部报表_有人事号!$A$2:$E$400,4,0)</f>
        <v>#N/A</v>
      </c>
      <c r="AR176" t="s">
        <v>289</v>
      </c>
    </row>
    <row r="177" spans="1:44">
      <c r="A177" s="5"/>
      <c r="B177" s="6"/>
      <c r="C177" s="6"/>
      <c r="D177" s="6"/>
      <c r="E177" s="6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8"/>
      <c r="AM177" s="14" t="e">
        <f>VLOOKUP(D177,[2]财务部报表_有人事号!$A$2:$D$400,3,0)</f>
        <v>#N/A</v>
      </c>
      <c r="AN177" s="14" t="e">
        <f>VLOOKUP(D177,[2]财务部报表_有人事号!$A$2:$E$400,4,0)</f>
        <v>#N/A</v>
      </c>
      <c r="AR177" t="s">
        <v>289</v>
      </c>
    </row>
    <row r="178" spans="1:44">
      <c r="A178" s="5"/>
      <c r="B178" s="6"/>
      <c r="C178" s="6"/>
      <c r="D178" s="6"/>
      <c r="E178" s="6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8"/>
      <c r="AM178" s="14" t="e">
        <f>VLOOKUP(D178,[2]财务部报表_有人事号!$A$2:$D$400,3,0)</f>
        <v>#N/A</v>
      </c>
      <c r="AN178" s="14" t="e">
        <f>VLOOKUP(D178,[2]财务部报表_有人事号!$A$2:$E$400,4,0)</f>
        <v>#N/A</v>
      </c>
      <c r="AR178" t="s">
        <v>289</v>
      </c>
    </row>
    <row r="179" spans="1:44">
      <c r="A179" s="5"/>
      <c r="B179" s="6"/>
      <c r="C179" s="6"/>
      <c r="D179" s="6"/>
      <c r="E179" s="6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8"/>
      <c r="AM179" s="14" t="e">
        <f>VLOOKUP(D179,[2]财务部报表_有人事号!$A$2:$D$400,3,0)</f>
        <v>#N/A</v>
      </c>
      <c r="AN179" s="14" t="e">
        <f>VLOOKUP(D179,[2]财务部报表_有人事号!$A$2:$E$400,4,0)</f>
        <v>#N/A</v>
      </c>
      <c r="AR179" t="s">
        <v>289</v>
      </c>
    </row>
    <row r="180" spans="1:44">
      <c r="A180" s="5"/>
      <c r="B180" s="6"/>
      <c r="C180" s="6"/>
      <c r="D180" s="6"/>
      <c r="E180" s="6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8"/>
      <c r="AM180" s="14" t="e">
        <f>VLOOKUP(D180,[2]财务部报表_有人事号!$A$2:$D$400,3,0)</f>
        <v>#N/A</v>
      </c>
      <c r="AN180" s="14" t="e">
        <f>VLOOKUP(D180,[2]财务部报表_有人事号!$A$2:$E$400,4,0)</f>
        <v>#N/A</v>
      </c>
      <c r="AR180" t="s">
        <v>289</v>
      </c>
    </row>
    <row r="181" spans="1:44">
      <c r="A181" s="5"/>
      <c r="B181" s="6"/>
      <c r="C181" s="6"/>
      <c r="D181" s="6"/>
      <c r="E181" s="6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8"/>
      <c r="AM181" s="14" t="e">
        <f>VLOOKUP(D181,[2]财务部报表_有人事号!$A$2:$D$400,3,0)</f>
        <v>#N/A</v>
      </c>
      <c r="AN181" s="14" t="e">
        <f>VLOOKUP(D181,[2]财务部报表_有人事号!$A$2:$E$400,4,0)</f>
        <v>#N/A</v>
      </c>
      <c r="AR181" t="s">
        <v>289</v>
      </c>
    </row>
    <row r="182" spans="1:44">
      <c r="A182" s="5"/>
      <c r="B182" s="6"/>
      <c r="C182" s="6"/>
      <c r="D182" s="6"/>
      <c r="E182" s="6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8"/>
      <c r="AM182" s="14" t="e">
        <f>VLOOKUP(D182,[2]财务部报表_有人事号!$A$2:$D$400,3,0)</f>
        <v>#N/A</v>
      </c>
      <c r="AN182" s="14" t="e">
        <f>VLOOKUP(D182,[2]财务部报表_有人事号!$A$2:$E$400,4,0)</f>
        <v>#N/A</v>
      </c>
      <c r="AR182" t="s">
        <v>289</v>
      </c>
    </row>
    <row r="183" spans="1:44">
      <c r="A183" s="5"/>
      <c r="B183" s="6"/>
      <c r="C183" s="6"/>
      <c r="D183" s="6"/>
      <c r="E183" s="6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8"/>
      <c r="AM183" s="14" t="e">
        <f>VLOOKUP(D183,[2]财务部报表_有人事号!$A$2:$D$400,3,0)</f>
        <v>#N/A</v>
      </c>
      <c r="AN183" s="14" t="e">
        <f>VLOOKUP(D183,[2]财务部报表_有人事号!$A$2:$E$400,4,0)</f>
        <v>#N/A</v>
      </c>
      <c r="AR183" t="s">
        <v>289</v>
      </c>
    </row>
    <row r="184" spans="1:44">
      <c r="A184" s="5"/>
      <c r="B184" s="6"/>
      <c r="C184" s="6"/>
      <c r="D184" s="6"/>
      <c r="E184" s="6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8"/>
      <c r="AM184" s="14" t="e">
        <f>VLOOKUP(D184,[2]财务部报表_有人事号!$A$2:$D$400,3,0)</f>
        <v>#N/A</v>
      </c>
      <c r="AN184" s="14" t="e">
        <f>VLOOKUP(D184,[2]财务部报表_有人事号!$A$2:$E$400,4,0)</f>
        <v>#N/A</v>
      </c>
      <c r="AR184" t="s">
        <v>289</v>
      </c>
    </row>
    <row r="185" spans="1:44">
      <c r="A185" s="5"/>
      <c r="B185" s="6"/>
      <c r="C185" s="6"/>
      <c r="D185" s="6"/>
      <c r="E185" s="6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8"/>
      <c r="AM185" s="14" t="e">
        <f>VLOOKUP(D185,[2]财务部报表_有人事号!$A$2:$D$400,3,0)</f>
        <v>#N/A</v>
      </c>
      <c r="AN185" s="14" t="e">
        <f>VLOOKUP(D185,[2]财务部报表_有人事号!$A$2:$E$400,4,0)</f>
        <v>#N/A</v>
      </c>
      <c r="AR185" t="s">
        <v>289</v>
      </c>
    </row>
    <row r="186" spans="1:44">
      <c r="A186" s="5"/>
      <c r="B186" s="6"/>
      <c r="C186" s="6"/>
      <c r="D186" s="6"/>
      <c r="E186" s="6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8"/>
      <c r="AM186" s="14" t="e">
        <f>VLOOKUP(D186,[2]财务部报表_有人事号!$A$2:$D$400,3,0)</f>
        <v>#N/A</v>
      </c>
      <c r="AN186" s="14" t="e">
        <f>VLOOKUP(D186,[2]财务部报表_有人事号!$A$2:$E$400,4,0)</f>
        <v>#N/A</v>
      </c>
      <c r="AR186" t="s">
        <v>289</v>
      </c>
    </row>
    <row r="187" spans="1:44">
      <c r="A187" s="5"/>
      <c r="B187" s="6"/>
      <c r="C187" s="6"/>
      <c r="D187" s="6"/>
      <c r="E187" s="6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8"/>
      <c r="AM187" s="14" t="e">
        <f>VLOOKUP(D187,[2]财务部报表_有人事号!$A$2:$D$400,3,0)</f>
        <v>#N/A</v>
      </c>
      <c r="AN187" s="14" t="e">
        <f>VLOOKUP(D187,[2]财务部报表_有人事号!$A$2:$E$400,4,0)</f>
        <v>#N/A</v>
      </c>
      <c r="AR187" t="s">
        <v>289</v>
      </c>
    </row>
    <row r="188" spans="1:44">
      <c r="A188" s="5"/>
      <c r="B188" s="6"/>
      <c r="C188" s="6"/>
      <c r="D188" s="6"/>
      <c r="E188" s="6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8"/>
      <c r="AM188" s="14" t="e">
        <f>VLOOKUP(D188,[2]财务部报表_有人事号!$A$2:$D$400,3,0)</f>
        <v>#N/A</v>
      </c>
      <c r="AN188" s="14" t="e">
        <f>VLOOKUP(D188,[2]财务部报表_有人事号!$A$2:$E$400,4,0)</f>
        <v>#N/A</v>
      </c>
      <c r="AR188" t="s">
        <v>289</v>
      </c>
    </row>
    <row r="189" spans="1:44">
      <c r="A189" s="5"/>
      <c r="B189" s="6"/>
      <c r="C189" s="6"/>
      <c r="D189" s="6"/>
      <c r="E189" s="6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8"/>
      <c r="AM189" s="14" t="e">
        <f>VLOOKUP(D189,[2]财务部报表_有人事号!$A$2:$D$400,3,0)</f>
        <v>#N/A</v>
      </c>
      <c r="AN189" s="14" t="e">
        <f>VLOOKUP(D189,[2]财务部报表_有人事号!$A$2:$E$400,4,0)</f>
        <v>#N/A</v>
      </c>
      <c r="AR189" t="s">
        <v>289</v>
      </c>
    </row>
    <row r="190" spans="1:44">
      <c r="A190" s="5"/>
      <c r="B190" s="6"/>
      <c r="C190" s="6"/>
      <c r="D190" s="6"/>
      <c r="E190" s="6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8"/>
      <c r="AM190" s="14" t="e">
        <f>VLOOKUP(D190,[2]财务部报表_有人事号!$A$2:$D$400,3,0)</f>
        <v>#N/A</v>
      </c>
      <c r="AN190" s="14" t="e">
        <f>VLOOKUP(D190,[2]财务部报表_有人事号!$A$2:$E$400,4,0)</f>
        <v>#N/A</v>
      </c>
      <c r="AR190" t="s">
        <v>289</v>
      </c>
    </row>
    <row r="191" spans="1:44">
      <c r="A191" s="5"/>
      <c r="B191" s="6"/>
      <c r="C191" s="6"/>
      <c r="D191" s="6"/>
      <c r="E191" s="6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8"/>
      <c r="AM191" s="14" t="e">
        <f>VLOOKUP(D191,[2]财务部报表_有人事号!$A$2:$D$400,3,0)</f>
        <v>#N/A</v>
      </c>
      <c r="AN191" s="14" t="e">
        <f>VLOOKUP(D191,[2]财务部报表_有人事号!$A$2:$E$400,4,0)</f>
        <v>#N/A</v>
      </c>
      <c r="AR191" t="s">
        <v>289</v>
      </c>
    </row>
    <row r="192" spans="1:44">
      <c r="A192" s="5"/>
      <c r="B192" s="6"/>
      <c r="C192" s="6"/>
      <c r="D192" s="6"/>
      <c r="E192" s="6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8"/>
      <c r="AM192" s="14" t="e">
        <f>VLOOKUP(D192,[2]财务部报表_有人事号!$A$2:$D$400,3,0)</f>
        <v>#N/A</v>
      </c>
      <c r="AN192" s="14" t="e">
        <f>VLOOKUP(D192,[2]财务部报表_有人事号!$A$2:$E$400,4,0)</f>
        <v>#N/A</v>
      </c>
      <c r="AR192" t="s">
        <v>289</v>
      </c>
    </row>
    <row r="193" spans="1:44">
      <c r="A193" s="5"/>
      <c r="B193" s="6"/>
      <c r="C193" s="6"/>
      <c r="D193" s="6"/>
      <c r="E193" s="6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8"/>
      <c r="AM193" s="14" t="e">
        <f>VLOOKUP(D193,[2]财务部报表_有人事号!$A$2:$D$400,3,0)</f>
        <v>#N/A</v>
      </c>
      <c r="AN193" s="14" t="e">
        <f>VLOOKUP(D193,[2]财务部报表_有人事号!$A$2:$E$400,4,0)</f>
        <v>#N/A</v>
      </c>
      <c r="AR193" t="s">
        <v>289</v>
      </c>
    </row>
    <row r="194" spans="1:44">
      <c r="A194" s="5"/>
      <c r="B194" s="6"/>
      <c r="C194" s="6"/>
      <c r="D194" s="6"/>
      <c r="E194" s="6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8"/>
      <c r="AM194" s="14" t="e">
        <f>VLOOKUP(D194,[2]财务部报表_有人事号!$A$2:$D$400,3,0)</f>
        <v>#N/A</v>
      </c>
      <c r="AN194" s="14" t="e">
        <f>VLOOKUP(D194,[2]财务部报表_有人事号!$A$2:$E$400,4,0)</f>
        <v>#N/A</v>
      </c>
      <c r="AR194" t="s">
        <v>289</v>
      </c>
    </row>
    <row r="195" spans="1:44">
      <c r="A195" s="5"/>
      <c r="B195" s="6"/>
      <c r="C195" s="6"/>
      <c r="D195" s="6"/>
      <c r="E195" s="6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8"/>
      <c r="AM195" s="14" t="e">
        <f>VLOOKUP(D195,[2]财务部报表_有人事号!$A$2:$D$400,3,0)</f>
        <v>#N/A</v>
      </c>
      <c r="AN195" s="14" t="e">
        <f>VLOOKUP(D195,[2]财务部报表_有人事号!$A$2:$E$400,4,0)</f>
        <v>#N/A</v>
      </c>
      <c r="AR195" t="s">
        <v>289</v>
      </c>
    </row>
    <row r="196" spans="1:44">
      <c r="A196" s="5"/>
      <c r="B196" s="6"/>
      <c r="C196" s="6"/>
      <c r="D196" s="6"/>
      <c r="E196" s="6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8"/>
      <c r="AM196" s="14" t="e">
        <f>VLOOKUP(D196,[2]财务部报表_有人事号!$A$2:$D$400,3,0)</f>
        <v>#N/A</v>
      </c>
      <c r="AN196" s="14" t="e">
        <f>VLOOKUP(D196,[2]财务部报表_有人事号!$A$2:$E$400,4,0)</f>
        <v>#N/A</v>
      </c>
      <c r="AR196" t="s">
        <v>289</v>
      </c>
    </row>
    <row r="197" spans="1:44">
      <c r="A197" s="5"/>
      <c r="B197" s="6"/>
      <c r="C197" s="6"/>
      <c r="D197" s="6"/>
      <c r="E197" s="6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8"/>
      <c r="AM197" s="14" t="e">
        <f>VLOOKUP(D197,[2]财务部报表_有人事号!$A$2:$D$400,3,0)</f>
        <v>#N/A</v>
      </c>
      <c r="AN197" s="14" t="e">
        <f>VLOOKUP(D197,[2]财务部报表_有人事号!$A$2:$E$400,4,0)</f>
        <v>#N/A</v>
      </c>
      <c r="AR197" t="s">
        <v>289</v>
      </c>
    </row>
    <row r="198" spans="1:44">
      <c r="A198" s="5"/>
      <c r="B198" s="6"/>
      <c r="C198" s="6"/>
      <c r="D198" s="6"/>
      <c r="E198" s="6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8"/>
      <c r="AM198" s="14" t="e">
        <f>VLOOKUP(D198,[2]财务部报表_有人事号!$A$2:$D$400,3,0)</f>
        <v>#N/A</v>
      </c>
      <c r="AN198" s="14" t="e">
        <f>VLOOKUP(D198,[2]财务部报表_有人事号!$A$2:$E$400,4,0)</f>
        <v>#N/A</v>
      </c>
      <c r="AR198" t="s">
        <v>289</v>
      </c>
    </row>
    <row r="199" spans="1:44">
      <c r="A199" s="5"/>
      <c r="B199" s="6"/>
      <c r="C199" s="6"/>
      <c r="D199" s="6"/>
      <c r="E199" s="6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8"/>
      <c r="AM199" s="14" t="e">
        <f>VLOOKUP(D199,[2]财务部报表_有人事号!$A$2:$D$400,3,0)</f>
        <v>#N/A</v>
      </c>
      <c r="AN199" s="14" t="e">
        <f>VLOOKUP(D199,[2]财务部报表_有人事号!$A$2:$E$400,4,0)</f>
        <v>#N/A</v>
      </c>
      <c r="AR199" t="s">
        <v>289</v>
      </c>
    </row>
    <row r="200" spans="1:44">
      <c r="A200" s="5"/>
      <c r="B200" s="6"/>
      <c r="C200" s="6"/>
      <c r="D200" s="6"/>
      <c r="E200" s="6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8"/>
      <c r="AM200" s="14" t="e">
        <f>VLOOKUP(D200,[2]财务部报表_有人事号!$A$2:$D$400,3,0)</f>
        <v>#N/A</v>
      </c>
      <c r="AN200" s="14" t="e">
        <f>VLOOKUP(D200,[2]财务部报表_有人事号!$A$2:$E$400,4,0)</f>
        <v>#N/A</v>
      </c>
      <c r="AR200" t="s">
        <v>289</v>
      </c>
    </row>
    <row r="201" spans="1:44">
      <c r="A201" s="5"/>
      <c r="B201" s="6"/>
      <c r="C201" s="6"/>
      <c r="D201" s="6"/>
      <c r="E201" s="6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8"/>
      <c r="AM201" s="14" t="e">
        <f>VLOOKUP(D201,[2]财务部报表_有人事号!$A$2:$D$400,3,0)</f>
        <v>#N/A</v>
      </c>
      <c r="AN201" s="14" t="e">
        <f>VLOOKUP(D201,[2]财务部报表_有人事号!$A$2:$E$400,4,0)</f>
        <v>#N/A</v>
      </c>
      <c r="AR201" t="s">
        <v>289</v>
      </c>
    </row>
    <row r="202" spans="1:44">
      <c r="A202" s="5"/>
      <c r="B202" s="6"/>
      <c r="C202" s="6"/>
      <c r="D202" s="6"/>
      <c r="E202" s="6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8"/>
      <c r="AM202" s="14" t="e">
        <f>VLOOKUP(D202,[2]财务部报表_有人事号!$A$2:$D$400,3,0)</f>
        <v>#N/A</v>
      </c>
      <c r="AN202" s="14" t="e">
        <f>VLOOKUP(D202,[2]财务部报表_有人事号!$A$2:$E$400,4,0)</f>
        <v>#N/A</v>
      </c>
      <c r="AR202" t="s">
        <v>289</v>
      </c>
    </row>
    <row r="203" spans="1:44">
      <c r="A203" s="5"/>
      <c r="B203" s="6"/>
      <c r="C203" s="6"/>
      <c r="D203" s="6"/>
      <c r="E203" s="6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8"/>
      <c r="AM203" s="14" t="e">
        <f>VLOOKUP(D203,[2]财务部报表_有人事号!$A$2:$D$400,3,0)</f>
        <v>#N/A</v>
      </c>
      <c r="AN203" s="14" t="e">
        <f>VLOOKUP(D203,[2]财务部报表_有人事号!$A$2:$E$400,4,0)</f>
        <v>#N/A</v>
      </c>
      <c r="AR203" t="s">
        <v>289</v>
      </c>
    </row>
    <row r="204" spans="1:44">
      <c r="A204" s="5"/>
      <c r="B204" s="6"/>
      <c r="C204" s="6"/>
      <c r="D204" s="6"/>
      <c r="E204" s="6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8"/>
      <c r="AM204" s="14" t="e">
        <f>VLOOKUP(D204,[2]财务部报表_有人事号!$A$2:$D$400,3,0)</f>
        <v>#N/A</v>
      </c>
      <c r="AN204" s="14" t="e">
        <f>VLOOKUP(D204,[2]财务部报表_有人事号!$A$2:$E$400,4,0)</f>
        <v>#N/A</v>
      </c>
      <c r="AR204" t="s">
        <v>289</v>
      </c>
    </row>
    <row r="205" spans="1:44">
      <c r="A205" s="5"/>
      <c r="B205" s="6"/>
      <c r="C205" s="6"/>
      <c r="D205" s="6"/>
      <c r="E205" s="6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8"/>
      <c r="AM205" s="14" t="e">
        <f>VLOOKUP(D205,[2]财务部报表_有人事号!$A$2:$D$400,3,0)</f>
        <v>#N/A</v>
      </c>
      <c r="AN205" s="14" t="e">
        <f>VLOOKUP(D205,[2]财务部报表_有人事号!$A$2:$E$400,4,0)</f>
        <v>#N/A</v>
      </c>
      <c r="AR205" t="s">
        <v>289</v>
      </c>
    </row>
    <row r="206" spans="1:44">
      <c r="A206" s="5"/>
      <c r="B206" s="6"/>
      <c r="C206" s="6"/>
      <c r="D206" s="6"/>
      <c r="E206" s="6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8"/>
      <c r="AM206" s="14" t="e">
        <f>VLOOKUP(D206,[2]财务部报表_有人事号!$A$2:$D$400,3,0)</f>
        <v>#N/A</v>
      </c>
      <c r="AN206" s="14" t="e">
        <f>VLOOKUP(D206,[2]财务部报表_有人事号!$A$2:$E$400,4,0)</f>
        <v>#N/A</v>
      </c>
      <c r="AR206" t="s">
        <v>289</v>
      </c>
    </row>
    <row r="207" spans="1:44">
      <c r="A207" s="5"/>
      <c r="B207" s="6"/>
      <c r="C207" s="6"/>
      <c r="D207" s="6"/>
      <c r="E207" s="6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8"/>
      <c r="AM207" s="14" t="e">
        <f>VLOOKUP(D207,[2]财务部报表_有人事号!$A$2:$D$400,3,0)</f>
        <v>#N/A</v>
      </c>
      <c r="AN207" s="14" t="e">
        <f>VLOOKUP(D207,[2]财务部报表_有人事号!$A$2:$E$400,4,0)</f>
        <v>#N/A</v>
      </c>
      <c r="AR207" t="s">
        <v>289</v>
      </c>
    </row>
    <row r="208" spans="1:44">
      <c r="A208" s="5"/>
      <c r="B208" s="6"/>
      <c r="C208" s="6"/>
      <c r="D208" s="6"/>
      <c r="E208" s="6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8"/>
      <c r="AM208" s="14" t="e">
        <f>VLOOKUP(D208,[2]财务部报表_有人事号!$A$2:$D$400,3,0)</f>
        <v>#N/A</v>
      </c>
      <c r="AN208" s="14" t="e">
        <f>VLOOKUP(D208,[2]财务部报表_有人事号!$A$2:$E$400,4,0)</f>
        <v>#N/A</v>
      </c>
      <c r="AR208" t="s">
        <v>289</v>
      </c>
    </row>
    <row r="209" spans="1:44">
      <c r="A209" s="5"/>
      <c r="B209" s="6"/>
      <c r="C209" s="6"/>
      <c r="D209" s="6"/>
      <c r="E209" s="6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8"/>
      <c r="AM209" s="14" t="e">
        <f>VLOOKUP(D209,[2]财务部报表_有人事号!$A$2:$D$400,3,0)</f>
        <v>#N/A</v>
      </c>
      <c r="AN209" s="14" t="e">
        <f>VLOOKUP(D209,[2]财务部报表_有人事号!$A$2:$E$400,4,0)</f>
        <v>#N/A</v>
      </c>
      <c r="AR209" t="s">
        <v>289</v>
      </c>
    </row>
    <row r="210" spans="1:44">
      <c r="A210" s="5"/>
      <c r="B210" s="6"/>
      <c r="C210" s="6"/>
      <c r="D210" s="6"/>
      <c r="E210" s="6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8"/>
      <c r="AM210" s="14" t="e">
        <f>VLOOKUP(D210,[2]财务部报表_有人事号!$A$2:$D$400,3,0)</f>
        <v>#N/A</v>
      </c>
      <c r="AN210" s="14" t="e">
        <f>VLOOKUP(D210,[2]财务部报表_有人事号!$A$2:$E$400,4,0)</f>
        <v>#N/A</v>
      </c>
      <c r="AR210" t="s">
        <v>289</v>
      </c>
    </row>
    <row r="211" spans="1:44">
      <c r="A211" s="5"/>
      <c r="B211" s="6"/>
      <c r="C211" s="6"/>
      <c r="D211" s="6"/>
      <c r="E211" s="6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8"/>
      <c r="AM211" s="14" t="e">
        <f>VLOOKUP(D211,[2]财务部报表_有人事号!$A$2:$D$400,3,0)</f>
        <v>#N/A</v>
      </c>
      <c r="AN211" s="14" t="e">
        <f>VLOOKUP(D211,[2]财务部报表_有人事号!$A$2:$E$400,4,0)</f>
        <v>#N/A</v>
      </c>
      <c r="AR211" t="s">
        <v>289</v>
      </c>
    </row>
    <row r="212" spans="1:44">
      <c r="A212" s="5"/>
      <c r="B212" s="6"/>
      <c r="C212" s="6"/>
      <c r="D212" s="6"/>
      <c r="E212" s="6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8"/>
      <c r="AM212" s="14" t="e">
        <f>VLOOKUP(D212,[2]财务部报表_有人事号!$A$2:$D$400,3,0)</f>
        <v>#N/A</v>
      </c>
      <c r="AN212" s="14" t="e">
        <f>VLOOKUP(D212,[2]财务部报表_有人事号!$A$2:$E$400,4,0)</f>
        <v>#N/A</v>
      </c>
      <c r="AR212" t="s">
        <v>289</v>
      </c>
    </row>
    <row r="213" spans="1:44">
      <c r="A213" s="5"/>
      <c r="B213" s="6"/>
      <c r="C213" s="6"/>
      <c r="D213" s="6"/>
      <c r="E213" s="6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8"/>
      <c r="AM213" s="14" t="e">
        <f>VLOOKUP(D213,[2]财务部报表_有人事号!$A$2:$D$400,3,0)</f>
        <v>#N/A</v>
      </c>
      <c r="AN213" s="14" t="e">
        <f>VLOOKUP(D213,[2]财务部报表_有人事号!$A$2:$E$400,4,0)</f>
        <v>#N/A</v>
      </c>
      <c r="AR213" t="s">
        <v>289</v>
      </c>
    </row>
    <row r="214" spans="1:44">
      <c r="A214" s="5"/>
      <c r="B214" s="6"/>
      <c r="C214" s="6"/>
      <c r="D214" s="6"/>
      <c r="E214" s="6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8"/>
      <c r="AM214" s="14" t="e">
        <f>VLOOKUP(D214,[2]财务部报表_有人事号!$A$2:$D$400,3,0)</f>
        <v>#N/A</v>
      </c>
      <c r="AN214" s="14" t="e">
        <f>VLOOKUP(D214,[2]财务部报表_有人事号!$A$2:$E$400,4,0)</f>
        <v>#N/A</v>
      </c>
      <c r="AR214" t="s">
        <v>289</v>
      </c>
    </row>
    <row r="215" spans="1:44">
      <c r="A215" s="5"/>
      <c r="B215" s="6"/>
      <c r="C215" s="6"/>
      <c r="D215" s="6"/>
      <c r="E215" s="6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8"/>
      <c r="AM215" s="14" t="e">
        <f>VLOOKUP(D215,[2]财务部报表_有人事号!$A$2:$D$400,3,0)</f>
        <v>#N/A</v>
      </c>
      <c r="AN215" s="14" t="e">
        <f>VLOOKUP(D215,[2]财务部报表_有人事号!$A$2:$E$400,4,0)</f>
        <v>#N/A</v>
      </c>
      <c r="AR215" t="s">
        <v>289</v>
      </c>
    </row>
    <row r="216" spans="1:44">
      <c r="A216" s="5"/>
      <c r="B216" s="6"/>
      <c r="C216" s="6"/>
      <c r="D216" s="6"/>
      <c r="E216" s="6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8"/>
      <c r="AM216" s="14" t="e">
        <f>VLOOKUP(D216,[2]财务部报表_有人事号!$A$2:$D$400,3,0)</f>
        <v>#N/A</v>
      </c>
      <c r="AN216" s="14" t="e">
        <f>VLOOKUP(D216,[2]财务部报表_有人事号!$A$2:$E$400,4,0)</f>
        <v>#N/A</v>
      </c>
      <c r="AR216" t="s">
        <v>289</v>
      </c>
    </row>
    <row r="217" spans="1:44">
      <c r="A217" s="5"/>
      <c r="B217" s="6"/>
      <c r="C217" s="6"/>
      <c r="D217" s="6"/>
      <c r="E217" s="6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8"/>
      <c r="AM217" s="14" t="e">
        <f>VLOOKUP(D217,[2]财务部报表_有人事号!$A$2:$D$400,3,0)</f>
        <v>#N/A</v>
      </c>
      <c r="AN217" s="14" t="e">
        <f>VLOOKUP(D217,[2]财务部报表_有人事号!$A$2:$E$400,4,0)</f>
        <v>#N/A</v>
      </c>
      <c r="AR217" t="s">
        <v>289</v>
      </c>
    </row>
    <row r="218" spans="1:44">
      <c r="A218" s="5"/>
      <c r="B218" s="6"/>
      <c r="C218" s="6"/>
      <c r="D218" s="6"/>
      <c r="E218" s="6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8"/>
      <c r="AM218" s="14" t="e">
        <f>VLOOKUP(D218,[2]财务部报表_有人事号!$A$2:$D$400,3,0)</f>
        <v>#N/A</v>
      </c>
      <c r="AN218" s="14" t="e">
        <f>VLOOKUP(D218,[2]财务部报表_有人事号!$A$2:$E$400,4,0)</f>
        <v>#N/A</v>
      </c>
      <c r="AR218" t="s">
        <v>289</v>
      </c>
    </row>
    <row r="219" spans="1:44">
      <c r="A219" s="5"/>
      <c r="B219" s="6"/>
      <c r="C219" s="6"/>
      <c r="D219" s="6"/>
      <c r="E219" s="6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8"/>
      <c r="AM219" s="14" t="e">
        <f>VLOOKUP(D219,[2]财务部报表_有人事号!$A$2:$D$400,3,0)</f>
        <v>#N/A</v>
      </c>
      <c r="AN219" s="14" t="e">
        <f>VLOOKUP(D219,[2]财务部报表_有人事号!$A$2:$E$400,4,0)</f>
        <v>#N/A</v>
      </c>
      <c r="AR219" t="s">
        <v>289</v>
      </c>
    </row>
    <row r="220" spans="1:44">
      <c r="A220" s="5"/>
      <c r="B220" s="6"/>
      <c r="C220" s="6"/>
      <c r="D220" s="6"/>
      <c r="E220" s="6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8"/>
      <c r="AM220" s="14" t="e">
        <f>VLOOKUP(D220,[2]财务部报表_有人事号!$A$2:$D$400,3,0)</f>
        <v>#N/A</v>
      </c>
      <c r="AN220" s="14" t="e">
        <f>VLOOKUP(D220,[2]财务部报表_有人事号!$A$2:$E$400,4,0)</f>
        <v>#N/A</v>
      </c>
      <c r="AR220" t="s">
        <v>289</v>
      </c>
    </row>
    <row r="221" spans="1:44">
      <c r="A221" s="5"/>
      <c r="B221" s="6"/>
      <c r="C221" s="6"/>
      <c r="D221" s="6"/>
      <c r="E221" s="6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8"/>
      <c r="AM221" s="14" t="e">
        <f>VLOOKUP(D221,[2]财务部报表_有人事号!$A$2:$D$400,3,0)</f>
        <v>#N/A</v>
      </c>
      <c r="AN221" s="14" t="e">
        <f>VLOOKUP(D221,[2]财务部报表_有人事号!$A$2:$E$400,4,0)</f>
        <v>#N/A</v>
      </c>
      <c r="AR221" t="s">
        <v>289</v>
      </c>
    </row>
    <row r="222" spans="1:44">
      <c r="A222" s="5"/>
      <c r="B222" s="6"/>
      <c r="C222" s="6"/>
      <c r="D222" s="6"/>
      <c r="E222" s="6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8"/>
      <c r="AM222" s="14" t="e">
        <f>VLOOKUP(D222,[2]财务部报表_有人事号!$A$2:$D$400,3,0)</f>
        <v>#N/A</v>
      </c>
      <c r="AN222" s="14" t="e">
        <f>VLOOKUP(D222,[2]财务部报表_有人事号!$A$2:$E$400,4,0)</f>
        <v>#N/A</v>
      </c>
      <c r="AR222" t="s">
        <v>289</v>
      </c>
    </row>
    <row r="223" spans="1:44">
      <c r="A223" s="5"/>
      <c r="B223" s="6"/>
      <c r="C223" s="6"/>
      <c r="D223" s="6"/>
      <c r="E223" s="6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8"/>
      <c r="AM223" s="14" t="e">
        <f>VLOOKUP(D223,[2]财务部报表_有人事号!$A$2:$D$400,3,0)</f>
        <v>#N/A</v>
      </c>
      <c r="AN223" s="14" t="e">
        <f>VLOOKUP(D223,[2]财务部报表_有人事号!$A$2:$E$400,4,0)</f>
        <v>#N/A</v>
      </c>
      <c r="AR223" t="s">
        <v>289</v>
      </c>
    </row>
    <row r="224" spans="1:44">
      <c r="A224" s="5"/>
      <c r="B224" s="6"/>
      <c r="C224" s="6"/>
      <c r="D224" s="6"/>
      <c r="E224" s="6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8"/>
      <c r="AM224" s="14" t="e">
        <f>VLOOKUP(D224,[2]财务部报表_有人事号!$A$2:$D$400,3,0)</f>
        <v>#N/A</v>
      </c>
      <c r="AN224" s="14" t="e">
        <f>VLOOKUP(D224,[2]财务部报表_有人事号!$A$2:$E$400,4,0)</f>
        <v>#N/A</v>
      </c>
      <c r="AR224" t="s">
        <v>289</v>
      </c>
    </row>
    <row r="225" spans="1:44">
      <c r="A225" s="5"/>
      <c r="B225" s="6"/>
      <c r="C225" s="6"/>
      <c r="D225" s="6"/>
      <c r="E225" s="6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8"/>
      <c r="AM225" s="14" t="e">
        <f>VLOOKUP(D225,[2]财务部报表_有人事号!$A$2:$D$400,3,0)</f>
        <v>#N/A</v>
      </c>
      <c r="AN225" s="14" t="e">
        <f>VLOOKUP(D225,[2]财务部报表_有人事号!$A$2:$E$400,4,0)</f>
        <v>#N/A</v>
      </c>
      <c r="AR225" t="s">
        <v>289</v>
      </c>
    </row>
    <row r="226" spans="1:44">
      <c r="A226" s="5"/>
      <c r="B226" s="6"/>
      <c r="C226" s="6"/>
      <c r="D226" s="6"/>
      <c r="E226" s="6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8"/>
      <c r="AM226" s="14" t="e">
        <f>VLOOKUP(D226,[2]财务部报表_有人事号!$A$2:$D$400,3,0)</f>
        <v>#N/A</v>
      </c>
      <c r="AN226" s="14" t="e">
        <f>VLOOKUP(D226,[2]财务部报表_有人事号!$A$2:$E$400,4,0)</f>
        <v>#N/A</v>
      </c>
      <c r="AR226" t="s">
        <v>289</v>
      </c>
    </row>
    <row r="227" spans="1:44">
      <c r="A227" s="5"/>
      <c r="B227" s="6"/>
      <c r="C227" s="6"/>
      <c r="D227" s="6"/>
      <c r="E227" s="6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8"/>
      <c r="AM227" s="14" t="e">
        <f>VLOOKUP(D227,[2]财务部报表_有人事号!$A$2:$D$400,3,0)</f>
        <v>#N/A</v>
      </c>
      <c r="AN227" s="14" t="e">
        <f>VLOOKUP(D227,[2]财务部报表_有人事号!$A$2:$E$400,4,0)</f>
        <v>#N/A</v>
      </c>
      <c r="AR227" t="s">
        <v>289</v>
      </c>
    </row>
    <row r="228" spans="1:44">
      <c r="A228" s="5"/>
      <c r="B228" s="6"/>
      <c r="C228" s="6"/>
      <c r="D228" s="6"/>
      <c r="E228" s="6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8"/>
      <c r="AM228" s="14" t="e">
        <f>VLOOKUP(D228,[2]财务部报表_有人事号!$A$2:$D$400,3,0)</f>
        <v>#N/A</v>
      </c>
      <c r="AN228" s="14" t="e">
        <f>VLOOKUP(D228,[2]财务部报表_有人事号!$A$2:$E$400,4,0)</f>
        <v>#N/A</v>
      </c>
      <c r="AR228" t="s">
        <v>289</v>
      </c>
    </row>
    <row r="229" spans="1:44">
      <c r="A229" s="5"/>
      <c r="B229" s="6"/>
      <c r="C229" s="6"/>
      <c r="D229" s="6"/>
      <c r="E229" s="6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8"/>
      <c r="AM229" s="14" t="e">
        <f>VLOOKUP(D229,[2]财务部报表_有人事号!$A$2:$D$400,3,0)</f>
        <v>#N/A</v>
      </c>
      <c r="AN229" s="14" t="e">
        <f>VLOOKUP(D229,[2]财务部报表_有人事号!$A$2:$E$400,4,0)</f>
        <v>#N/A</v>
      </c>
      <c r="AR229" t="s">
        <v>289</v>
      </c>
    </row>
    <row r="230" spans="1:44">
      <c r="A230" s="5"/>
      <c r="B230" s="6"/>
      <c r="C230" s="6"/>
      <c r="D230" s="6"/>
      <c r="E230" s="6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8"/>
      <c r="AM230" s="14" t="e">
        <f>VLOOKUP(D230,[2]财务部报表_有人事号!$A$2:$D$400,3,0)</f>
        <v>#N/A</v>
      </c>
      <c r="AN230" s="14" t="e">
        <f>VLOOKUP(D230,[2]财务部报表_有人事号!$A$2:$E$400,4,0)</f>
        <v>#N/A</v>
      </c>
      <c r="AR230" t="s">
        <v>289</v>
      </c>
    </row>
    <row r="231" spans="1:44">
      <c r="A231" s="5"/>
      <c r="B231" s="6"/>
      <c r="C231" s="6"/>
      <c r="D231" s="6"/>
      <c r="E231" s="6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8"/>
      <c r="AM231" s="14" t="e">
        <f>VLOOKUP(D231,[2]财务部报表_有人事号!$A$2:$D$400,3,0)</f>
        <v>#N/A</v>
      </c>
      <c r="AN231" s="14" t="e">
        <f>VLOOKUP(D231,[2]财务部报表_有人事号!$A$2:$E$400,4,0)</f>
        <v>#N/A</v>
      </c>
      <c r="AR231" t="s">
        <v>289</v>
      </c>
    </row>
    <row r="232" spans="1:44">
      <c r="A232" s="5"/>
      <c r="B232" s="6"/>
      <c r="C232" s="6"/>
      <c r="D232" s="6"/>
      <c r="E232" s="6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8"/>
      <c r="AM232" s="14" t="e">
        <f>VLOOKUP(D232,[2]财务部报表_有人事号!$A$2:$D$400,3,0)</f>
        <v>#N/A</v>
      </c>
      <c r="AN232" s="14" t="e">
        <f>VLOOKUP(D232,[2]财务部报表_有人事号!$A$2:$E$400,4,0)</f>
        <v>#N/A</v>
      </c>
      <c r="AR232" t="s">
        <v>289</v>
      </c>
    </row>
    <row r="233" spans="1:44">
      <c r="A233" s="5"/>
      <c r="B233" s="6"/>
      <c r="C233" s="6"/>
      <c r="D233" s="6"/>
      <c r="E233" s="6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8"/>
      <c r="AM233" s="14" t="e">
        <f>VLOOKUP(D233,[2]财务部报表_有人事号!$A$2:$D$400,3,0)</f>
        <v>#N/A</v>
      </c>
      <c r="AN233" s="14" t="e">
        <f>VLOOKUP(D233,[2]财务部报表_有人事号!$A$2:$E$400,4,0)</f>
        <v>#N/A</v>
      </c>
      <c r="AR233" t="s">
        <v>289</v>
      </c>
    </row>
    <row r="234" spans="1:44">
      <c r="A234" s="5"/>
      <c r="B234" s="6"/>
      <c r="C234" s="6"/>
      <c r="D234" s="6"/>
      <c r="E234" s="6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8"/>
      <c r="AM234" s="14" t="e">
        <f>VLOOKUP(D234,[2]财务部报表_有人事号!$A$2:$D$400,3,0)</f>
        <v>#N/A</v>
      </c>
      <c r="AN234" s="14" t="e">
        <f>VLOOKUP(D234,[2]财务部报表_有人事号!$A$2:$E$400,4,0)</f>
        <v>#N/A</v>
      </c>
      <c r="AR234" t="s">
        <v>289</v>
      </c>
    </row>
    <row r="235" spans="1:44">
      <c r="A235" s="5"/>
      <c r="B235" s="6"/>
      <c r="C235" s="6"/>
      <c r="D235" s="6"/>
      <c r="E235" s="6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8"/>
      <c r="AM235" s="14" t="e">
        <f>VLOOKUP(D235,[2]财务部报表_有人事号!$A$2:$D$400,3,0)</f>
        <v>#N/A</v>
      </c>
      <c r="AN235" s="14" t="e">
        <f>VLOOKUP(D235,[2]财务部报表_有人事号!$A$2:$E$400,4,0)</f>
        <v>#N/A</v>
      </c>
      <c r="AR235" t="s">
        <v>289</v>
      </c>
    </row>
    <row r="236" spans="1:44">
      <c r="A236" s="5"/>
      <c r="B236" s="6"/>
      <c r="C236" s="6"/>
      <c r="D236" s="6"/>
      <c r="E236" s="6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8"/>
      <c r="AM236" s="14" t="e">
        <f>VLOOKUP(D236,[2]财务部报表_有人事号!$A$2:$D$400,3,0)</f>
        <v>#N/A</v>
      </c>
      <c r="AN236" s="14" t="e">
        <f>VLOOKUP(D236,[2]财务部报表_有人事号!$A$2:$E$400,4,0)</f>
        <v>#N/A</v>
      </c>
      <c r="AR236" t="s">
        <v>289</v>
      </c>
    </row>
    <row r="237" spans="1:44">
      <c r="A237" s="5"/>
      <c r="B237" s="6"/>
      <c r="C237" s="6"/>
      <c r="D237" s="6"/>
      <c r="E237" s="6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8"/>
      <c r="AM237" s="14" t="e">
        <f>VLOOKUP(D237,[2]财务部报表_有人事号!$A$2:$D$400,3,0)</f>
        <v>#N/A</v>
      </c>
      <c r="AN237" s="14" t="e">
        <f>VLOOKUP(D237,[2]财务部报表_有人事号!$A$2:$E$400,4,0)</f>
        <v>#N/A</v>
      </c>
      <c r="AR237" t="s">
        <v>289</v>
      </c>
    </row>
    <row r="238" spans="1:44">
      <c r="A238" s="5"/>
      <c r="B238" s="6"/>
      <c r="C238" s="6"/>
      <c r="D238" s="6"/>
      <c r="E238" s="6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8"/>
      <c r="AM238" s="14" t="e">
        <f>VLOOKUP(D238,[2]财务部报表_有人事号!$A$2:$D$400,3,0)</f>
        <v>#N/A</v>
      </c>
      <c r="AN238" s="14" t="e">
        <f>VLOOKUP(D238,[2]财务部报表_有人事号!$A$2:$E$400,4,0)</f>
        <v>#N/A</v>
      </c>
      <c r="AR238" t="s">
        <v>289</v>
      </c>
    </row>
    <row r="239" spans="1:44">
      <c r="A239" s="5"/>
      <c r="B239" s="6"/>
      <c r="C239" s="6"/>
      <c r="D239" s="6"/>
      <c r="E239" s="6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8"/>
      <c r="AM239" s="14" t="e">
        <f>VLOOKUP(D239,[2]财务部报表_有人事号!$A$2:$D$400,3,0)</f>
        <v>#N/A</v>
      </c>
      <c r="AN239" s="14" t="e">
        <f>VLOOKUP(D239,[2]财务部报表_有人事号!$A$2:$E$400,4,0)</f>
        <v>#N/A</v>
      </c>
      <c r="AR239" t="s">
        <v>289</v>
      </c>
    </row>
    <row r="240" spans="1:44">
      <c r="A240" s="5"/>
      <c r="B240" s="6"/>
      <c r="C240" s="6"/>
      <c r="D240" s="6"/>
      <c r="E240" s="6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8"/>
      <c r="AM240" s="14" t="e">
        <f>VLOOKUP(D240,[2]财务部报表_有人事号!$A$2:$D$400,3,0)</f>
        <v>#N/A</v>
      </c>
      <c r="AN240" s="14" t="e">
        <f>VLOOKUP(D240,[2]财务部报表_有人事号!$A$2:$E$400,4,0)</f>
        <v>#N/A</v>
      </c>
      <c r="AR240" t="s">
        <v>289</v>
      </c>
    </row>
    <row r="241" spans="1:44">
      <c r="A241" s="5"/>
      <c r="B241" s="6"/>
      <c r="C241" s="6"/>
      <c r="D241" s="6"/>
      <c r="E241" s="6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8"/>
      <c r="AM241" s="14" t="e">
        <f>VLOOKUP(D241,[2]财务部报表_有人事号!$A$2:$D$400,3,0)</f>
        <v>#N/A</v>
      </c>
      <c r="AN241" s="14" t="e">
        <f>VLOOKUP(D241,[2]财务部报表_有人事号!$A$2:$E$400,4,0)</f>
        <v>#N/A</v>
      </c>
      <c r="AR241" t="s">
        <v>289</v>
      </c>
    </row>
    <row r="242" spans="1:44" ht="14.25" thickBot="1">
      <c r="A242" s="9"/>
      <c r="B242" s="10"/>
      <c r="C242" s="10"/>
      <c r="D242" s="10"/>
      <c r="E242" s="10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2"/>
      <c r="AM242" s="14" t="e">
        <f>VLOOKUP(D242,[2]财务部报表_有人事号!$A$2:$D$400,3,0)</f>
        <v>#N/A</v>
      </c>
      <c r="AN242" s="14" t="e">
        <f>VLOOKUP(D242,[2]财务部报表_有人事号!$A$2:$E$400,4,0)</f>
        <v>#N/A</v>
      </c>
      <c r="AR242" t="s">
        <v>289</v>
      </c>
    </row>
  </sheetData>
  <phoneticPr fontId="2" type="noConversion"/>
  <conditionalFormatting sqref="AR5:AR400">
    <cfRule type="duplicateValues" dxfId="240" priority="3340"/>
  </conditionalFormatting>
  <conditionalFormatting sqref="AM1:AN1048576">
    <cfRule type="containsErrors" dxfId="239" priority="240">
      <formula>ISERROR(AM1)</formula>
    </cfRule>
  </conditionalFormatting>
  <conditionalFormatting sqref="AR1:AR1048576">
    <cfRule type="containsErrors" dxfId="238" priority="239">
      <formula>ISERROR(AR1)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8" id="{00000000-0000-0000-0000-000000000000}">
            <xm:f>ISERROR(VLOOKUP(D5,Temp财务部报表_有人事号!$A$2:$D$400,1,))=TRUE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237" id="{00000000-0000-0000-0000-000000000000}">
            <xm:f>ISERROR(VLOOKUP(D6,Temp财务部报表_有人事号!$A$2:$D$400,1,))=TRUE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236" id="{00000000-0000-0000-0000-000000000000}">
            <xm:f>ISERROR(VLOOKUP(D7,Temp财务部报表_有人事号!$A$2:$D$400,1,))=TRUE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235" id="{00000000-0000-0000-0000-000000000000}">
            <xm:f>ISERROR(VLOOKUP(D8,Temp财务部报表_有人事号!$A$2:$D$400,1,))=TRUE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234" id="{00000000-0000-0000-0000-000000000000}">
            <xm:f>ISERROR(VLOOKUP(D9,Temp财务部报表_有人事号!$A$2:$D$400,1,))=TRUE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233" id="{00000000-0000-0000-0000-000000000000}">
            <xm:f>ISERROR(VLOOKUP(D10,Temp财务部报表_有人事号!$A$2:$D$400,1,))=TRUE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232" id="{00000000-0000-0000-0000-000000000000}">
            <xm:f>ISERROR(VLOOKUP(D11,Temp财务部报表_有人事号!$A$2:$D$400,1,))=TRUE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231" id="{00000000-0000-0000-0000-000000000000}">
            <xm:f>ISERROR(VLOOKUP(D12,Temp财务部报表_有人事号!$A$2:$D$400,1,))=TRUE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230" id="{00000000-0000-0000-0000-000000000000}">
            <xm:f>ISERROR(VLOOKUP(D13,Temp财务部报表_有人事号!$A$2:$D$400,1,))=TRUE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229" id="{00000000-0000-0000-0000-000000000000}">
            <xm:f>ISERROR(VLOOKUP(D14,Temp财务部报表_有人事号!$A$2:$D$400,1,))=TRUE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228" id="{00000000-0000-0000-0000-000000000000}">
            <xm:f>ISERROR(VLOOKUP(D15,Temp财务部报表_有人事号!$A$2:$D$400,1,))=TRUE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227" id="{00000000-0000-0000-0000-000000000000}">
            <xm:f>ISERROR(VLOOKUP(D16,Temp财务部报表_有人事号!$A$2:$D$400,1,))=TRUE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26" id="{00000000-0000-0000-0000-000000000000}">
            <xm:f>ISERROR(VLOOKUP(D17,Temp财务部报表_有人事号!$A$2:$D$400,1,))=TRUE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225" id="{00000000-0000-0000-0000-000000000000}">
            <xm:f>ISERROR(VLOOKUP(D18,Temp财务部报表_有人事号!$A$2:$D$400,1,))=TRUE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224" id="{00000000-0000-0000-0000-000000000000}">
            <xm:f>ISERROR(VLOOKUP(D19,Temp财务部报表_有人事号!$A$2:$D$400,1,))=TRUE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</xm:sqref>
        </x14:conditionalFormatting>
        <x14:conditionalFormatting xmlns:xm="http://schemas.microsoft.com/office/excel/2006/main">
          <x14:cfRule type="expression" priority="223" id="{00000000-0000-0000-0000-000000000000}">
            <xm:f>ISERROR(VLOOKUP(D20,Temp财务部报表_有人事号!$A$2:$D$400,1,))=TRUE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</xm:sqref>
        </x14:conditionalFormatting>
        <x14:conditionalFormatting xmlns:xm="http://schemas.microsoft.com/office/excel/2006/main">
          <x14:cfRule type="expression" priority="222" id="{00000000-0000-0000-0000-000000000000}">
            <xm:f>ISERROR(VLOOKUP(D21,Temp财务部报表_有人事号!$A$2:$D$400,1,))=TRUE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</xm:sqref>
        </x14:conditionalFormatting>
        <x14:conditionalFormatting xmlns:xm="http://schemas.microsoft.com/office/excel/2006/main">
          <x14:cfRule type="expression" priority="221" id="{00000000-0000-0000-0000-000000000000}">
            <xm:f>ISERROR(VLOOKUP(D22,Temp财务部报表_有人事号!$A$2:$D$400,1,))=TRUE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</xm:sqref>
        </x14:conditionalFormatting>
        <x14:conditionalFormatting xmlns:xm="http://schemas.microsoft.com/office/excel/2006/main">
          <x14:cfRule type="expression" priority="220" id="{00000000-0000-0000-0000-000000000000}">
            <xm:f>ISERROR(VLOOKUP(D23,Temp财务部报表_有人事号!$A$2:$D$400,1,))=TRUE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</xm:sqref>
        </x14:conditionalFormatting>
        <x14:conditionalFormatting xmlns:xm="http://schemas.microsoft.com/office/excel/2006/main">
          <x14:cfRule type="expression" priority="219" id="{00000000-0000-0000-0000-000000000000}">
            <xm:f>ISERROR(VLOOKUP(D24,Temp财务部报表_有人事号!$A$2:$D$400,1,))=TRUE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E24</xm:sqref>
        </x14:conditionalFormatting>
        <x14:conditionalFormatting xmlns:xm="http://schemas.microsoft.com/office/excel/2006/main">
          <x14:cfRule type="expression" priority="218" id="{00000000-0000-0000-0000-000000000000}">
            <xm:f>ISERROR(VLOOKUP(D25,Temp财务部报表_有人事号!$A$2:$D$400,1,))=TRUE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E25</xm:sqref>
        </x14:conditionalFormatting>
        <x14:conditionalFormatting xmlns:xm="http://schemas.microsoft.com/office/excel/2006/main">
          <x14:cfRule type="expression" priority="217" id="{00000000-0000-0000-0000-000000000000}">
            <xm:f>ISERROR(VLOOKUP(D26,Temp财务部报表_有人事号!$A$2:$D$400,1,))=TRUE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E26</xm:sqref>
        </x14:conditionalFormatting>
        <x14:conditionalFormatting xmlns:xm="http://schemas.microsoft.com/office/excel/2006/main">
          <x14:cfRule type="expression" priority="216" id="{00000000-0000-0000-0000-000000000000}">
            <xm:f>ISERROR(VLOOKUP(D27,Temp财务部报表_有人事号!$A$2:$D$400,1,))=TRUE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E27</xm:sqref>
        </x14:conditionalFormatting>
        <x14:conditionalFormatting xmlns:xm="http://schemas.microsoft.com/office/excel/2006/main">
          <x14:cfRule type="expression" priority="215" id="{00000000-0000-0000-0000-000000000000}">
            <xm:f>ISERROR(VLOOKUP(D28,Temp财务部报表_有人事号!$A$2:$D$400,1,))=TRUE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expression" priority="214" id="{00000000-0000-0000-0000-000000000000}">
            <xm:f>ISERROR(VLOOKUP(D29,Temp财务部报表_有人事号!$A$2:$D$400,1,))=TRUE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E29</xm:sqref>
        </x14:conditionalFormatting>
        <x14:conditionalFormatting xmlns:xm="http://schemas.microsoft.com/office/excel/2006/main">
          <x14:cfRule type="expression" priority="213" id="{00000000-0000-0000-0000-000000000000}">
            <xm:f>ISERROR(VLOOKUP(D30,Temp财务部报表_有人事号!$A$2:$D$400,1,))=TRUE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E30</xm:sqref>
        </x14:conditionalFormatting>
        <x14:conditionalFormatting xmlns:xm="http://schemas.microsoft.com/office/excel/2006/main">
          <x14:cfRule type="expression" priority="212" id="{00000000-0000-0000-0000-000000000000}">
            <xm:f>ISERROR(VLOOKUP(D31,Temp财务部报表_有人事号!$A$2:$D$400,1,))=TRUE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E31</xm:sqref>
        </x14:conditionalFormatting>
        <x14:conditionalFormatting xmlns:xm="http://schemas.microsoft.com/office/excel/2006/main">
          <x14:cfRule type="expression" priority="211" id="{00000000-0000-0000-0000-000000000000}">
            <xm:f>ISERROR(VLOOKUP(D32,Temp财务部报表_有人事号!$A$2:$D$400,1,))=TRUE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E32</xm:sqref>
        </x14:conditionalFormatting>
        <x14:conditionalFormatting xmlns:xm="http://schemas.microsoft.com/office/excel/2006/main">
          <x14:cfRule type="expression" priority="210" id="{00000000-0000-0000-0000-000000000000}">
            <xm:f>ISERROR(VLOOKUP(D33,Temp财务部报表_有人事号!$A$2:$D$400,1,))=TRUE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E33</xm:sqref>
        </x14:conditionalFormatting>
        <x14:conditionalFormatting xmlns:xm="http://schemas.microsoft.com/office/excel/2006/main">
          <x14:cfRule type="expression" priority="209" id="{00000000-0000-0000-0000-000000000000}">
            <xm:f>ISERROR(VLOOKUP(D34,Temp财务部报表_有人事号!$A$2:$D$400,1,))=TRUE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E34</xm:sqref>
        </x14:conditionalFormatting>
        <x14:conditionalFormatting xmlns:xm="http://schemas.microsoft.com/office/excel/2006/main">
          <x14:cfRule type="expression" priority="208" id="{00000000-0000-0000-0000-000000000000}">
            <xm:f>ISERROR(VLOOKUP(D35,Temp财务部报表_有人事号!$A$2:$D$400,1,))=TRUE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E35</xm:sqref>
        </x14:conditionalFormatting>
        <x14:conditionalFormatting xmlns:xm="http://schemas.microsoft.com/office/excel/2006/main">
          <x14:cfRule type="expression" priority="207" id="{00000000-0000-0000-0000-000000000000}">
            <xm:f>ISERROR(VLOOKUP(D36,Temp财务部报表_有人事号!$A$2:$D$400,1,))=TRUE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E36</xm:sqref>
        </x14:conditionalFormatting>
        <x14:conditionalFormatting xmlns:xm="http://schemas.microsoft.com/office/excel/2006/main">
          <x14:cfRule type="expression" priority="206" id="{00000000-0000-0000-0000-000000000000}">
            <xm:f>ISERROR(VLOOKUP(D37,Temp财务部报表_有人事号!$A$2:$D$400,1,))=TRUE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E37</xm:sqref>
        </x14:conditionalFormatting>
        <x14:conditionalFormatting xmlns:xm="http://schemas.microsoft.com/office/excel/2006/main">
          <x14:cfRule type="expression" priority="205" id="{00000000-0000-0000-0000-000000000000}">
            <xm:f>ISERROR(VLOOKUP(D38,Temp财务部报表_有人事号!$A$2:$D$400,1,))=TRUE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E38</xm:sqref>
        </x14:conditionalFormatting>
        <x14:conditionalFormatting xmlns:xm="http://schemas.microsoft.com/office/excel/2006/main">
          <x14:cfRule type="expression" priority="204" id="{00000000-0000-0000-0000-000000000000}">
            <xm:f>ISERROR(VLOOKUP(D39,Temp财务部报表_有人事号!$A$2:$D$400,1,))=TRUE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E39</xm:sqref>
        </x14:conditionalFormatting>
        <x14:conditionalFormatting xmlns:xm="http://schemas.microsoft.com/office/excel/2006/main">
          <x14:cfRule type="expression" priority="203" id="{00000000-0000-0000-0000-000000000000}">
            <xm:f>ISERROR(VLOOKUP(D40,Temp财务部报表_有人事号!$A$2:$D$400,1,))=TRUE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E40</xm:sqref>
        </x14:conditionalFormatting>
        <x14:conditionalFormatting xmlns:xm="http://schemas.microsoft.com/office/excel/2006/main">
          <x14:cfRule type="expression" priority="202" id="{00000000-0000-0000-0000-000000000000}">
            <xm:f>ISERROR(VLOOKUP(D41,Temp财务部报表_有人事号!$A$2:$D$400,1,))=TRUE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E41</xm:sqref>
        </x14:conditionalFormatting>
        <x14:conditionalFormatting xmlns:xm="http://schemas.microsoft.com/office/excel/2006/main">
          <x14:cfRule type="expression" priority="201" id="{00000000-0000-0000-0000-000000000000}">
            <xm:f>ISERROR(VLOOKUP(D42,Temp财务部报表_有人事号!$A$2:$D$400,1,))=TRUE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E42</xm:sqref>
        </x14:conditionalFormatting>
        <x14:conditionalFormatting xmlns:xm="http://schemas.microsoft.com/office/excel/2006/main">
          <x14:cfRule type="expression" priority="200" id="{00000000-0000-0000-0000-000000000000}">
            <xm:f>ISERROR(VLOOKUP(D43,Temp财务部报表_有人事号!$A$2:$D$400,1,))=TRUE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E43</xm:sqref>
        </x14:conditionalFormatting>
        <x14:conditionalFormatting xmlns:xm="http://schemas.microsoft.com/office/excel/2006/main">
          <x14:cfRule type="expression" priority="199" id="{00000000-0000-0000-0000-000000000000}">
            <xm:f>ISERROR(VLOOKUP(D44,Temp财务部报表_有人事号!$A$2:$D$400,1,))=TRUE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E44</xm:sqref>
        </x14:conditionalFormatting>
        <x14:conditionalFormatting xmlns:xm="http://schemas.microsoft.com/office/excel/2006/main">
          <x14:cfRule type="expression" priority="198" id="{00000000-0000-0000-0000-000000000000}">
            <xm:f>ISERROR(VLOOKUP(D45,Temp财务部报表_有人事号!$A$2:$D$400,1,))=TRUE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E45</xm:sqref>
        </x14:conditionalFormatting>
        <x14:conditionalFormatting xmlns:xm="http://schemas.microsoft.com/office/excel/2006/main">
          <x14:cfRule type="expression" priority="197" id="{00000000-0000-0000-0000-000000000000}">
            <xm:f>ISERROR(VLOOKUP(D46,Temp财务部报表_有人事号!$A$2:$D$400,1,))=TRUE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E46</xm:sqref>
        </x14:conditionalFormatting>
        <x14:conditionalFormatting xmlns:xm="http://schemas.microsoft.com/office/excel/2006/main">
          <x14:cfRule type="expression" priority="196" id="{00000000-0000-0000-0000-000000000000}">
            <xm:f>ISERROR(VLOOKUP(D47,Temp财务部报表_有人事号!$A$2:$D$400,1,))=TRUE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E47</xm:sqref>
        </x14:conditionalFormatting>
        <x14:conditionalFormatting xmlns:xm="http://schemas.microsoft.com/office/excel/2006/main">
          <x14:cfRule type="expression" priority="195" id="{00000000-0000-0000-0000-000000000000}">
            <xm:f>ISERROR(VLOOKUP(D48,Temp财务部报表_有人事号!$A$2:$D$400,1,))=TRUE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E48</xm:sqref>
        </x14:conditionalFormatting>
        <x14:conditionalFormatting xmlns:xm="http://schemas.microsoft.com/office/excel/2006/main">
          <x14:cfRule type="expression" priority="194" id="{00000000-0000-0000-0000-000000000000}">
            <xm:f>ISERROR(VLOOKUP(D49,Temp财务部报表_有人事号!$A$2:$D$400,1,))=TRUE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E49</xm:sqref>
        </x14:conditionalFormatting>
        <x14:conditionalFormatting xmlns:xm="http://schemas.microsoft.com/office/excel/2006/main">
          <x14:cfRule type="expression" priority="193" id="{00000000-0000-0000-0000-000000000000}">
            <xm:f>ISERROR(VLOOKUP(D50,Temp财务部报表_有人事号!$A$2:$D$400,1,))=TRUE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expression" priority="192" id="{00000000-0000-0000-0000-000000000000}">
            <xm:f>ISERROR(VLOOKUP(D51,Temp财务部报表_有人事号!$A$2:$D$400,1,))=TRUE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E51</xm:sqref>
        </x14:conditionalFormatting>
        <x14:conditionalFormatting xmlns:xm="http://schemas.microsoft.com/office/excel/2006/main">
          <x14:cfRule type="expression" priority="191" id="{00000000-0000-0000-0000-000000000000}">
            <xm:f>ISERROR(VLOOKUP(D52,Temp财务部报表_有人事号!$A$2:$D$400,1,))=TRUE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E52</xm:sqref>
        </x14:conditionalFormatting>
        <x14:conditionalFormatting xmlns:xm="http://schemas.microsoft.com/office/excel/2006/main">
          <x14:cfRule type="expression" priority="190" id="{00000000-0000-0000-0000-000000000000}">
            <xm:f>ISERROR(VLOOKUP(D53,Temp财务部报表_有人事号!$A$2:$D$400,1,))=TRUE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E53</xm:sqref>
        </x14:conditionalFormatting>
        <x14:conditionalFormatting xmlns:xm="http://schemas.microsoft.com/office/excel/2006/main">
          <x14:cfRule type="expression" priority="189" id="{00000000-0000-0000-0000-000000000000}">
            <xm:f>ISERROR(VLOOKUP(D54,Temp财务部报表_有人事号!$A$2:$D$400,1,))=TRUE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E54</xm:sqref>
        </x14:conditionalFormatting>
        <x14:conditionalFormatting xmlns:xm="http://schemas.microsoft.com/office/excel/2006/main">
          <x14:cfRule type="expression" priority="188" id="{00000000-0000-0000-0000-000000000000}">
            <xm:f>ISERROR(VLOOKUP(D55,Temp财务部报表_有人事号!$A$2:$D$400,1,))=TRUE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expression" priority="187" id="{00000000-0000-0000-0000-000000000000}">
            <xm:f>ISERROR(VLOOKUP(D56,Temp财务部报表_有人事号!$A$2:$D$400,1,))=TRUE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E56</xm:sqref>
        </x14:conditionalFormatting>
        <x14:conditionalFormatting xmlns:xm="http://schemas.microsoft.com/office/excel/2006/main">
          <x14:cfRule type="expression" priority="186" id="{00000000-0000-0000-0000-000000000000}">
            <xm:f>ISERROR(VLOOKUP(D57,Temp财务部报表_有人事号!$A$2:$D$400,1,))=TRUE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expression" priority="185" id="{00000000-0000-0000-0000-000000000000}">
            <xm:f>ISERROR(VLOOKUP(D58,Temp财务部报表_有人事号!$A$2:$D$400,1,))=TRUE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E58</xm:sqref>
        </x14:conditionalFormatting>
        <x14:conditionalFormatting xmlns:xm="http://schemas.microsoft.com/office/excel/2006/main">
          <x14:cfRule type="expression" priority="184" id="{00000000-0000-0000-0000-000000000000}">
            <xm:f>ISERROR(VLOOKUP(D59,Temp财务部报表_有人事号!$A$2:$D$400,1,))=TRUE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E59</xm:sqref>
        </x14:conditionalFormatting>
        <x14:conditionalFormatting xmlns:xm="http://schemas.microsoft.com/office/excel/2006/main">
          <x14:cfRule type="expression" priority="183" id="{00000000-0000-0000-0000-000000000000}">
            <xm:f>ISERROR(VLOOKUP(D60,Temp财务部报表_有人事号!$A$2:$D$400,1,))=TRUE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E60</xm:sqref>
        </x14:conditionalFormatting>
        <x14:conditionalFormatting xmlns:xm="http://schemas.microsoft.com/office/excel/2006/main">
          <x14:cfRule type="expression" priority="182" id="{00000000-0000-0000-0000-000000000000}">
            <xm:f>ISERROR(VLOOKUP(D61,Temp财务部报表_有人事号!$A$2:$D$400,1,))=TRUE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E61</xm:sqref>
        </x14:conditionalFormatting>
        <x14:conditionalFormatting xmlns:xm="http://schemas.microsoft.com/office/excel/2006/main">
          <x14:cfRule type="expression" priority="181" id="{00000000-0000-0000-0000-000000000000}">
            <xm:f>ISERROR(VLOOKUP(D62,Temp财务部报表_有人事号!$A$2:$D$400,1,))=TRUE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E62</xm:sqref>
        </x14:conditionalFormatting>
        <x14:conditionalFormatting xmlns:xm="http://schemas.microsoft.com/office/excel/2006/main">
          <x14:cfRule type="expression" priority="180" id="{00000000-0000-0000-0000-000000000000}">
            <xm:f>ISERROR(VLOOKUP(D63,Temp财务部报表_有人事号!$A$2:$D$400,1,))=TRUE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E63</xm:sqref>
        </x14:conditionalFormatting>
        <x14:conditionalFormatting xmlns:xm="http://schemas.microsoft.com/office/excel/2006/main">
          <x14:cfRule type="expression" priority="179" id="{00000000-0000-0000-0000-000000000000}">
            <xm:f>ISERROR(VLOOKUP(D64,Temp财务部报表_有人事号!$A$2:$D$400,1,))=TRUE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E64</xm:sqref>
        </x14:conditionalFormatting>
        <x14:conditionalFormatting xmlns:xm="http://schemas.microsoft.com/office/excel/2006/main">
          <x14:cfRule type="expression" priority="178" id="{00000000-0000-0000-0000-000000000000}">
            <xm:f>ISERROR(VLOOKUP(D65,Temp财务部报表_有人事号!$A$2:$D$400,1,))=TRUE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E65</xm:sqref>
        </x14:conditionalFormatting>
        <x14:conditionalFormatting xmlns:xm="http://schemas.microsoft.com/office/excel/2006/main">
          <x14:cfRule type="expression" priority="177" id="{00000000-0000-0000-0000-000000000000}">
            <xm:f>ISERROR(VLOOKUP(D66,Temp财务部报表_有人事号!$A$2:$D$400,1,))=TRUE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E66</xm:sqref>
        </x14:conditionalFormatting>
        <x14:conditionalFormatting xmlns:xm="http://schemas.microsoft.com/office/excel/2006/main">
          <x14:cfRule type="expression" priority="176" id="{00000000-0000-0000-0000-000000000000}">
            <xm:f>ISERROR(VLOOKUP(D67,Temp财务部报表_有人事号!$A$2:$D$400,1,))=TRUE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E67</xm:sqref>
        </x14:conditionalFormatting>
        <x14:conditionalFormatting xmlns:xm="http://schemas.microsoft.com/office/excel/2006/main">
          <x14:cfRule type="expression" priority="175" id="{00000000-0000-0000-0000-000000000000}">
            <xm:f>ISERROR(VLOOKUP(D68,Temp财务部报表_有人事号!$A$2:$D$400,1,))=TRUE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E68</xm:sqref>
        </x14:conditionalFormatting>
        <x14:conditionalFormatting xmlns:xm="http://schemas.microsoft.com/office/excel/2006/main">
          <x14:cfRule type="expression" priority="174" id="{00000000-0000-0000-0000-000000000000}">
            <xm:f>ISERROR(VLOOKUP(D69,Temp财务部报表_有人事号!$A$2:$D$400,1,))=TRUE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E69</xm:sqref>
        </x14:conditionalFormatting>
        <x14:conditionalFormatting xmlns:xm="http://schemas.microsoft.com/office/excel/2006/main">
          <x14:cfRule type="expression" priority="173" id="{00000000-0000-0000-0000-000000000000}">
            <xm:f>ISERROR(VLOOKUP(D70,Temp财务部报表_有人事号!$A$2:$D$400,1,))=TRUE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E70</xm:sqref>
        </x14:conditionalFormatting>
        <x14:conditionalFormatting xmlns:xm="http://schemas.microsoft.com/office/excel/2006/main">
          <x14:cfRule type="expression" priority="172" id="{00000000-0000-0000-0000-000000000000}">
            <xm:f>ISERROR(VLOOKUP(D71,Temp财务部报表_有人事号!$A$2:$D$400,1,))=TRUE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E71</xm:sqref>
        </x14:conditionalFormatting>
        <x14:conditionalFormatting xmlns:xm="http://schemas.microsoft.com/office/excel/2006/main">
          <x14:cfRule type="expression" priority="171" id="{00000000-0000-0000-0000-000000000000}">
            <xm:f>ISERROR(VLOOKUP(D72,Temp财务部报表_有人事号!$A$2:$D$400,1,))=TRUE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E72</xm:sqref>
        </x14:conditionalFormatting>
        <x14:conditionalFormatting xmlns:xm="http://schemas.microsoft.com/office/excel/2006/main">
          <x14:cfRule type="expression" priority="170" id="{00000000-0000-0000-0000-000000000000}">
            <xm:f>ISERROR(VLOOKUP(D73,Temp财务部报表_有人事号!$A$2:$D$400,1,))=TRUE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E73</xm:sqref>
        </x14:conditionalFormatting>
        <x14:conditionalFormatting xmlns:xm="http://schemas.microsoft.com/office/excel/2006/main">
          <x14:cfRule type="expression" priority="169" id="{00000000-0000-0000-0000-000000000000}">
            <xm:f>ISERROR(VLOOKUP(D74,Temp财务部报表_有人事号!$A$2:$D$400,1,))=TRUE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E74</xm:sqref>
        </x14:conditionalFormatting>
        <x14:conditionalFormatting xmlns:xm="http://schemas.microsoft.com/office/excel/2006/main">
          <x14:cfRule type="expression" priority="168" id="{00000000-0000-0000-0000-000000000000}">
            <xm:f>ISERROR(VLOOKUP(D75,Temp财务部报表_有人事号!$A$2:$D$400,1,))=TRUE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E75</xm:sqref>
        </x14:conditionalFormatting>
        <x14:conditionalFormatting xmlns:xm="http://schemas.microsoft.com/office/excel/2006/main">
          <x14:cfRule type="expression" priority="167" id="{00000000-0000-0000-0000-000000000000}">
            <xm:f>ISERROR(VLOOKUP(D76,Temp财务部报表_有人事号!$A$2:$D$400,1,))=TRUE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E76</xm:sqref>
        </x14:conditionalFormatting>
        <x14:conditionalFormatting xmlns:xm="http://schemas.microsoft.com/office/excel/2006/main">
          <x14:cfRule type="expression" priority="166" id="{00000000-0000-0000-0000-000000000000}">
            <xm:f>ISERROR(VLOOKUP(D77,Temp财务部报表_有人事号!$A$2:$D$400,1,))=TRUE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E77</xm:sqref>
        </x14:conditionalFormatting>
        <x14:conditionalFormatting xmlns:xm="http://schemas.microsoft.com/office/excel/2006/main">
          <x14:cfRule type="expression" priority="165" id="{00000000-0000-0000-0000-000000000000}">
            <xm:f>ISERROR(VLOOKUP(D78,Temp财务部报表_有人事号!$A$2:$D$400,1,))=TRUE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E78</xm:sqref>
        </x14:conditionalFormatting>
        <x14:conditionalFormatting xmlns:xm="http://schemas.microsoft.com/office/excel/2006/main">
          <x14:cfRule type="expression" priority="164" id="{00000000-0000-0000-0000-000000000000}">
            <xm:f>ISERROR(VLOOKUP(D79,Temp财务部报表_有人事号!$A$2:$D$400,1,))=TRUE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E79</xm:sqref>
        </x14:conditionalFormatting>
        <x14:conditionalFormatting xmlns:xm="http://schemas.microsoft.com/office/excel/2006/main">
          <x14:cfRule type="expression" priority="163" id="{00000000-0000-0000-0000-000000000000}">
            <xm:f>ISERROR(VLOOKUP(D80,Temp财务部报表_有人事号!$A$2:$D$400,1,))=TRUE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E80</xm:sqref>
        </x14:conditionalFormatting>
        <x14:conditionalFormatting xmlns:xm="http://schemas.microsoft.com/office/excel/2006/main">
          <x14:cfRule type="expression" priority="162" id="{00000000-0000-0000-0000-000000000000}">
            <xm:f>ISERROR(VLOOKUP(D81,Temp财务部报表_有人事号!$A$2:$D$400,1,))=TRUE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E81</xm:sqref>
        </x14:conditionalFormatting>
        <x14:conditionalFormatting xmlns:xm="http://schemas.microsoft.com/office/excel/2006/main">
          <x14:cfRule type="expression" priority="161" id="{00000000-0000-0000-0000-000000000000}">
            <xm:f>ISERROR(VLOOKUP(D82,Temp财务部报表_有人事号!$A$2:$D$400,1,))=TRUE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E82</xm:sqref>
        </x14:conditionalFormatting>
        <x14:conditionalFormatting xmlns:xm="http://schemas.microsoft.com/office/excel/2006/main">
          <x14:cfRule type="expression" priority="160" id="{00000000-0000-0000-0000-000000000000}">
            <xm:f>ISERROR(VLOOKUP(D83,Temp财务部报表_有人事号!$A$2:$D$400,1,))=TRUE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E83</xm:sqref>
        </x14:conditionalFormatting>
        <x14:conditionalFormatting xmlns:xm="http://schemas.microsoft.com/office/excel/2006/main">
          <x14:cfRule type="expression" priority="159" id="{00000000-0000-0000-0000-000000000000}">
            <xm:f>ISERROR(VLOOKUP(D84,Temp财务部报表_有人事号!$A$2:$D$400,1,))=TRUE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E84</xm:sqref>
        </x14:conditionalFormatting>
        <x14:conditionalFormatting xmlns:xm="http://schemas.microsoft.com/office/excel/2006/main">
          <x14:cfRule type="expression" priority="158" id="{00000000-0000-0000-0000-000000000000}">
            <xm:f>ISERROR(VLOOKUP(D85,Temp财务部报表_有人事号!$A$2:$D$400,1,))=TRUE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E85</xm:sqref>
        </x14:conditionalFormatting>
        <x14:conditionalFormatting xmlns:xm="http://schemas.microsoft.com/office/excel/2006/main">
          <x14:cfRule type="expression" priority="157" id="{00000000-0000-0000-0000-000000000000}">
            <xm:f>ISERROR(VLOOKUP(D86,Temp财务部报表_有人事号!$A$2:$D$400,1,))=TRUE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E86</xm:sqref>
        </x14:conditionalFormatting>
        <x14:conditionalFormatting xmlns:xm="http://schemas.microsoft.com/office/excel/2006/main">
          <x14:cfRule type="expression" priority="156" id="{00000000-0000-0000-0000-000000000000}">
            <xm:f>ISERROR(VLOOKUP(D87,Temp财务部报表_有人事号!$A$2:$D$400,1,))=TRUE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E87</xm:sqref>
        </x14:conditionalFormatting>
        <x14:conditionalFormatting xmlns:xm="http://schemas.microsoft.com/office/excel/2006/main">
          <x14:cfRule type="expression" priority="155" id="{00000000-0000-0000-0000-000000000000}">
            <xm:f>ISERROR(VLOOKUP(D88,Temp财务部报表_有人事号!$A$2:$D$400,1,))=TRUE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E88</xm:sqref>
        </x14:conditionalFormatting>
        <x14:conditionalFormatting xmlns:xm="http://schemas.microsoft.com/office/excel/2006/main">
          <x14:cfRule type="expression" priority="154" id="{00000000-0000-0000-0000-000000000000}">
            <xm:f>ISERROR(VLOOKUP(D89,Temp财务部报表_有人事号!$A$2:$D$400,1,))=TRUE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E89</xm:sqref>
        </x14:conditionalFormatting>
        <x14:conditionalFormatting xmlns:xm="http://schemas.microsoft.com/office/excel/2006/main">
          <x14:cfRule type="expression" priority="153" id="{00000000-0000-0000-0000-000000000000}">
            <xm:f>ISERROR(VLOOKUP(D90,Temp财务部报表_有人事号!$A$2:$D$400,1,))=TRUE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E90</xm:sqref>
        </x14:conditionalFormatting>
        <x14:conditionalFormatting xmlns:xm="http://schemas.microsoft.com/office/excel/2006/main">
          <x14:cfRule type="expression" priority="152" id="{00000000-0000-0000-0000-000000000000}">
            <xm:f>ISERROR(VLOOKUP(D91,Temp财务部报表_有人事号!$A$2:$D$400,1,))=TRUE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E91</xm:sqref>
        </x14:conditionalFormatting>
        <x14:conditionalFormatting xmlns:xm="http://schemas.microsoft.com/office/excel/2006/main">
          <x14:cfRule type="expression" priority="151" id="{00000000-0000-0000-0000-000000000000}">
            <xm:f>ISERROR(VLOOKUP(D92,Temp财务部报表_有人事号!$A$2:$D$400,1,))=TRUE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E92</xm:sqref>
        </x14:conditionalFormatting>
        <x14:conditionalFormatting xmlns:xm="http://schemas.microsoft.com/office/excel/2006/main">
          <x14:cfRule type="expression" priority="150" id="{00000000-0000-0000-0000-000000000000}">
            <xm:f>ISERROR(VLOOKUP(D93,Temp财务部报表_有人事号!$A$2:$D$400,1,))=TRUE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E93</xm:sqref>
        </x14:conditionalFormatting>
        <x14:conditionalFormatting xmlns:xm="http://schemas.microsoft.com/office/excel/2006/main">
          <x14:cfRule type="expression" priority="149" id="{00000000-0000-0000-0000-000000000000}">
            <xm:f>ISERROR(VLOOKUP(D94,Temp财务部报表_有人事号!$A$2:$D$400,1,))=TRUE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E94</xm:sqref>
        </x14:conditionalFormatting>
        <x14:conditionalFormatting xmlns:xm="http://schemas.microsoft.com/office/excel/2006/main">
          <x14:cfRule type="expression" priority="148" id="{00000000-0000-0000-0000-000000000000}">
            <xm:f>ISERROR(VLOOKUP(D95,Temp财务部报表_有人事号!$A$2:$D$400,1,))=TRUE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E95</xm:sqref>
        </x14:conditionalFormatting>
        <x14:conditionalFormatting xmlns:xm="http://schemas.microsoft.com/office/excel/2006/main">
          <x14:cfRule type="expression" priority="147" id="{00000000-0000-0000-0000-000000000000}">
            <xm:f>ISERROR(VLOOKUP(D96,Temp财务部报表_有人事号!$A$2:$D$400,1,))=TRUE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E96</xm:sqref>
        </x14:conditionalFormatting>
        <x14:conditionalFormatting xmlns:xm="http://schemas.microsoft.com/office/excel/2006/main">
          <x14:cfRule type="expression" priority="146" id="{00000000-0000-0000-0000-000000000000}">
            <xm:f>ISERROR(VLOOKUP(D97,Temp财务部报表_有人事号!$A$2:$D$400,1,))=TRUE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E97</xm:sqref>
        </x14:conditionalFormatting>
        <x14:conditionalFormatting xmlns:xm="http://schemas.microsoft.com/office/excel/2006/main">
          <x14:cfRule type="expression" priority="145" id="{00000000-0000-0000-0000-000000000000}">
            <xm:f>ISERROR(VLOOKUP(D98,Temp财务部报表_有人事号!$A$2:$D$400,1,))=TRUE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E98</xm:sqref>
        </x14:conditionalFormatting>
        <x14:conditionalFormatting xmlns:xm="http://schemas.microsoft.com/office/excel/2006/main">
          <x14:cfRule type="expression" priority="144" id="{00000000-0000-0000-0000-000000000000}">
            <xm:f>ISERROR(VLOOKUP(D99,Temp财务部报表_有人事号!$A$2:$D$400,1,))=TRUE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E99</xm:sqref>
        </x14:conditionalFormatting>
        <x14:conditionalFormatting xmlns:xm="http://schemas.microsoft.com/office/excel/2006/main">
          <x14:cfRule type="expression" priority="143" id="{00000000-0000-0000-0000-000000000000}">
            <xm:f>ISERROR(VLOOKUP(D100,Temp财务部报表_有人事号!$A$2:$D$400,1,))=TRUE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E100</xm:sqref>
        </x14:conditionalFormatting>
        <x14:conditionalFormatting xmlns:xm="http://schemas.microsoft.com/office/excel/2006/main">
          <x14:cfRule type="expression" priority="142" id="{00000000-0000-0000-0000-000000000000}">
            <xm:f>ISERROR(VLOOKUP(D101,Temp财务部报表_有人事号!$A$2:$D$400,1,))=TRUE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E101</xm:sqref>
        </x14:conditionalFormatting>
        <x14:conditionalFormatting xmlns:xm="http://schemas.microsoft.com/office/excel/2006/main">
          <x14:cfRule type="expression" priority="141" id="{00000000-0000-0000-0000-000000000000}">
            <xm:f>ISERROR(VLOOKUP(D102,Temp财务部报表_有人事号!$A$2:$D$400,1,))=TRUE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E102</xm:sqref>
        </x14:conditionalFormatting>
        <x14:conditionalFormatting xmlns:xm="http://schemas.microsoft.com/office/excel/2006/main">
          <x14:cfRule type="expression" priority="140" id="{00000000-0000-0000-0000-000000000000}">
            <xm:f>ISERROR(VLOOKUP(D103,Temp财务部报表_有人事号!$A$2:$D$400,1,))=TRUE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E103</xm:sqref>
        </x14:conditionalFormatting>
        <x14:conditionalFormatting xmlns:xm="http://schemas.microsoft.com/office/excel/2006/main">
          <x14:cfRule type="expression" priority="139" id="{00000000-0000-0000-0000-000000000000}">
            <xm:f>ISERROR(VLOOKUP(D104,Temp财务部报表_有人事号!$A$2:$D$400,1,))=TRUE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E104</xm:sqref>
        </x14:conditionalFormatting>
        <x14:conditionalFormatting xmlns:xm="http://schemas.microsoft.com/office/excel/2006/main">
          <x14:cfRule type="expression" priority="138" id="{00000000-0000-0000-0000-000000000000}">
            <xm:f>ISERROR(VLOOKUP(D105,Temp财务部报表_有人事号!$A$2:$D$400,1,))=TRUE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E105</xm:sqref>
        </x14:conditionalFormatting>
        <x14:conditionalFormatting xmlns:xm="http://schemas.microsoft.com/office/excel/2006/main">
          <x14:cfRule type="expression" priority="137" id="{00000000-0000-0000-0000-000000000000}">
            <xm:f>ISERROR(VLOOKUP(D106,Temp财务部报表_有人事号!$A$2:$D$400,1,))=TRUE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E106</xm:sqref>
        </x14:conditionalFormatting>
        <x14:conditionalFormatting xmlns:xm="http://schemas.microsoft.com/office/excel/2006/main">
          <x14:cfRule type="expression" priority="136" id="{00000000-0000-0000-0000-000000000000}">
            <xm:f>ISERROR(VLOOKUP(D107,Temp财务部报表_有人事号!$A$2:$D$400,1,))=TRUE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expression" priority="135" id="{00000000-0000-0000-0000-000000000000}">
            <xm:f>ISERROR(VLOOKUP(D108,Temp财务部报表_有人事号!$A$2:$D$400,1,))=TRUE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E108</xm:sqref>
        </x14:conditionalFormatting>
        <x14:conditionalFormatting xmlns:xm="http://schemas.microsoft.com/office/excel/2006/main">
          <x14:cfRule type="expression" priority="134" id="{00000000-0000-0000-0000-000000000000}">
            <xm:f>ISERROR(VLOOKUP(D109,Temp财务部报表_有人事号!$A$2:$D$400,1,))=TRUE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E109</xm:sqref>
        </x14:conditionalFormatting>
        <x14:conditionalFormatting xmlns:xm="http://schemas.microsoft.com/office/excel/2006/main">
          <x14:cfRule type="expression" priority="133" id="{00000000-0000-0000-0000-000000000000}">
            <xm:f>ISERROR(VLOOKUP(D110,Temp财务部报表_有人事号!$A$2:$D$400,1,))=TRUE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E110</xm:sqref>
        </x14:conditionalFormatting>
        <x14:conditionalFormatting xmlns:xm="http://schemas.microsoft.com/office/excel/2006/main">
          <x14:cfRule type="expression" priority="132" id="{00000000-0000-0000-0000-000000000000}">
            <xm:f>ISERROR(VLOOKUP(D111,Temp财务部报表_有人事号!$A$2:$D$400,1,))=TRUE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E111</xm:sqref>
        </x14:conditionalFormatting>
        <x14:conditionalFormatting xmlns:xm="http://schemas.microsoft.com/office/excel/2006/main">
          <x14:cfRule type="expression" priority="131" id="{00000000-0000-0000-0000-000000000000}">
            <xm:f>ISERROR(VLOOKUP(D112,Temp财务部报表_有人事号!$A$2:$D$400,1,))=TRUE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E112</xm:sqref>
        </x14:conditionalFormatting>
        <x14:conditionalFormatting xmlns:xm="http://schemas.microsoft.com/office/excel/2006/main">
          <x14:cfRule type="expression" priority="130" id="{00000000-0000-0000-0000-000000000000}">
            <xm:f>ISERROR(VLOOKUP(D113,Temp财务部报表_有人事号!$A$2:$D$400,1,))=TRUE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E113</xm:sqref>
        </x14:conditionalFormatting>
        <x14:conditionalFormatting xmlns:xm="http://schemas.microsoft.com/office/excel/2006/main">
          <x14:cfRule type="expression" priority="129" id="{00000000-0000-0000-0000-000000000000}">
            <xm:f>ISERROR(VLOOKUP(D114,Temp财务部报表_有人事号!$A$2:$D$400,1,))=TRUE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E114</xm:sqref>
        </x14:conditionalFormatting>
        <x14:conditionalFormatting xmlns:xm="http://schemas.microsoft.com/office/excel/2006/main">
          <x14:cfRule type="expression" priority="128" id="{00000000-0000-0000-0000-000000000000}">
            <xm:f>ISERROR(VLOOKUP(D115,Temp财务部报表_有人事号!$A$2:$D$400,1,))=TRUE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E115</xm:sqref>
        </x14:conditionalFormatting>
        <x14:conditionalFormatting xmlns:xm="http://schemas.microsoft.com/office/excel/2006/main">
          <x14:cfRule type="expression" priority="127" id="{00000000-0000-0000-0000-000000000000}">
            <xm:f>ISERROR(VLOOKUP(D116,Temp财务部报表_有人事号!$A$2:$D$400,1,))=TRUE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E116</xm:sqref>
        </x14:conditionalFormatting>
        <x14:conditionalFormatting xmlns:xm="http://schemas.microsoft.com/office/excel/2006/main">
          <x14:cfRule type="expression" priority="126" id="{00000000-0000-0000-0000-000000000000}">
            <xm:f>ISERROR(VLOOKUP(D117,Temp财务部报表_有人事号!$A$2:$D$400,1,))=TRUE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E117</xm:sqref>
        </x14:conditionalFormatting>
        <x14:conditionalFormatting xmlns:xm="http://schemas.microsoft.com/office/excel/2006/main">
          <x14:cfRule type="expression" priority="125" id="{00000000-0000-0000-0000-000000000000}">
            <xm:f>ISERROR(VLOOKUP(D118,Temp财务部报表_有人事号!$A$2:$D$400,1,))=TRUE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E118</xm:sqref>
        </x14:conditionalFormatting>
        <x14:conditionalFormatting xmlns:xm="http://schemas.microsoft.com/office/excel/2006/main">
          <x14:cfRule type="expression" priority="124" id="{00000000-0000-0000-0000-000000000000}">
            <xm:f>ISERROR(VLOOKUP(D119,Temp财务部报表_有人事号!$A$2:$D$400,1,))=TRUE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E119</xm:sqref>
        </x14:conditionalFormatting>
        <x14:conditionalFormatting xmlns:xm="http://schemas.microsoft.com/office/excel/2006/main">
          <x14:cfRule type="expression" priority="123" id="{00000000-0000-0000-0000-000000000000}">
            <xm:f>ISERROR(VLOOKUP(D120,Temp财务部报表_有人事号!$A$2:$D$400,1,))=TRUE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E120</xm:sqref>
        </x14:conditionalFormatting>
        <x14:conditionalFormatting xmlns:xm="http://schemas.microsoft.com/office/excel/2006/main">
          <x14:cfRule type="expression" priority="122" id="{00000000-0000-0000-0000-000000000000}">
            <xm:f>ISERROR(VLOOKUP(D121,Temp财务部报表_有人事号!$A$2:$D$400,1,))=TRUE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E121</xm:sqref>
        </x14:conditionalFormatting>
        <x14:conditionalFormatting xmlns:xm="http://schemas.microsoft.com/office/excel/2006/main">
          <x14:cfRule type="expression" priority="121" id="{00000000-0000-0000-0000-000000000000}">
            <xm:f>ISERROR(VLOOKUP(D122,Temp财务部报表_有人事号!$A$2:$D$400,1,))=TRUE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E122</xm:sqref>
        </x14:conditionalFormatting>
        <x14:conditionalFormatting xmlns:xm="http://schemas.microsoft.com/office/excel/2006/main">
          <x14:cfRule type="expression" priority="120" id="{00000000-0000-0000-0000-000000000000}">
            <xm:f>ISERROR(VLOOKUP(D123,Temp财务部报表_有人事号!$A$2:$D$400,1,))=TRUE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E123</xm:sqref>
        </x14:conditionalFormatting>
        <x14:conditionalFormatting xmlns:xm="http://schemas.microsoft.com/office/excel/2006/main">
          <x14:cfRule type="expression" priority="119" id="{00000000-0000-0000-0000-000000000000}">
            <xm:f>ISERROR(VLOOKUP(D124,Temp财务部报表_有人事号!$A$2:$D$400,1,))=TRUE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expression" priority="118" id="{00000000-0000-0000-0000-000000000000}">
            <xm:f>ISERROR(VLOOKUP(D125,Temp财务部报表_有人事号!$A$2:$D$400,1,))=TRUE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expression" priority="117" id="{00000000-0000-0000-0000-000000000000}">
            <xm:f>ISERROR(VLOOKUP(D126,Temp财务部报表_有人事号!$A$2:$D$400,1,))=TRUE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expression" priority="116" id="{00000000-0000-0000-0000-000000000000}">
            <xm:f>ISERROR(VLOOKUP(D127,Temp财务部报表_有人事号!$A$2:$D$400,1,))=TRUE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E127</xm:sqref>
        </x14:conditionalFormatting>
        <x14:conditionalFormatting xmlns:xm="http://schemas.microsoft.com/office/excel/2006/main">
          <x14:cfRule type="expression" priority="115" id="{00000000-0000-0000-0000-000000000000}">
            <xm:f>ISERROR(VLOOKUP(D128,Temp财务部报表_有人事号!$A$2:$D$400,1,))=TRUE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E128</xm:sqref>
        </x14:conditionalFormatting>
        <x14:conditionalFormatting xmlns:xm="http://schemas.microsoft.com/office/excel/2006/main">
          <x14:cfRule type="expression" priority="114" id="{00000000-0000-0000-0000-000000000000}">
            <xm:f>ISERROR(VLOOKUP(D129,Temp财务部报表_有人事号!$A$2:$D$400,1,))=TRUE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E129</xm:sqref>
        </x14:conditionalFormatting>
        <x14:conditionalFormatting xmlns:xm="http://schemas.microsoft.com/office/excel/2006/main">
          <x14:cfRule type="expression" priority="113" id="{00000000-0000-0000-0000-000000000000}">
            <xm:f>ISERROR(VLOOKUP(D130,Temp财务部报表_有人事号!$A$2:$D$400,1,))=TRUE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E130</xm:sqref>
        </x14:conditionalFormatting>
        <x14:conditionalFormatting xmlns:xm="http://schemas.microsoft.com/office/excel/2006/main">
          <x14:cfRule type="expression" priority="112" id="{00000000-0000-0000-0000-000000000000}">
            <xm:f>ISERROR(VLOOKUP(D131,Temp财务部报表_有人事号!$A$2:$D$400,1,))=TRUE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E131</xm:sqref>
        </x14:conditionalFormatting>
        <x14:conditionalFormatting xmlns:xm="http://schemas.microsoft.com/office/excel/2006/main">
          <x14:cfRule type="expression" priority="111" id="{00000000-0000-0000-0000-000000000000}">
            <xm:f>ISERROR(VLOOKUP(D132,Temp财务部报表_有人事号!$A$2:$D$400,1,))=TRUE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E132</xm:sqref>
        </x14:conditionalFormatting>
        <x14:conditionalFormatting xmlns:xm="http://schemas.microsoft.com/office/excel/2006/main">
          <x14:cfRule type="expression" priority="110" id="{00000000-0000-0000-0000-000000000000}">
            <xm:f>ISERROR(VLOOKUP(D133,Temp财务部报表_有人事号!$A$2:$D$400,1,))=TRUE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E133</xm:sqref>
        </x14:conditionalFormatting>
        <x14:conditionalFormatting xmlns:xm="http://schemas.microsoft.com/office/excel/2006/main">
          <x14:cfRule type="expression" priority="109" id="{00000000-0000-0000-0000-000000000000}">
            <xm:f>ISERROR(VLOOKUP(D134,Temp财务部报表_有人事号!$A$2:$D$400,1,))=TRUE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E134</xm:sqref>
        </x14:conditionalFormatting>
        <x14:conditionalFormatting xmlns:xm="http://schemas.microsoft.com/office/excel/2006/main">
          <x14:cfRule type="expression" priority="108" id="{00000000-0000-0000-0000-000000000000}">
            <xm:f>ISERROR(VLOOKUP(D135,Temp财务部报表_有人事号!$A$2:$D$400,1,))=TRUE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E135</xm:sqref>
        </x14:conditionalFormatting>
        <x14:conditionalFormatting xmlns:xm="http://schemas.microsoft.com/office/excel/2006/main">
          <x14:cfRule type="expression" priority="107" id="{00000000-0000-0000-0000-000000000000}">
            <xm:f>ISERROR(VLOOKUP(D136,Temp财务部报表_有人事号!$A$2:$D$400,1,))=TRUE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E136</xm:sqref>
        </x14:conditionalFormatting>
        <x14:conditionalFormatting xmlns:xm="http://schemas.microsoft.com/office/excel/2006/main">
          <x14:cfRule type="expression" priority="106" id="{00000000-0000-0000-0000-000000000000}">
            <xm:f>ISERROR(VLOOKUP(D137,Temp财务部报表_有人事号!$A$2:$D$400,1,))=TRUE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E137</xm:sqref>
        </x14:conditionalFormatting>
        <x14:conditionalFormatting xmlns:xm="http://schemas.microsoft.com/office/excel/2006/main">
          <x14:cfRule type="expression" priority="105" id="{00000000-0000-0000-0000-000000000000}">
            <xm:f>ISERROR(VLOOKUP(D138,Temp财务部报表_有人事号!$A$2:$D$400,1,))=TRUE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expression" priority="104" id="{00000000-0000-0000-0000-000000000000}">
            <xm:f>ISERROR(VLOOKUP(D139,Temp财务部报表_有人事号!$A$2:$D$400,1,))=TRUE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E139</xm:sqref>
        </x14:conditionalFormatting>
        <x14:conditionalFormatting xmlns:xm="http://schemas.microsoft.com/office/excel/2006/main">
          <x14:cfRule type="expression" priority="103" id="{00000000-0000-0000-0000-000000000000}">
            <xm:f>ISERROR(VLOOKUP(D140,Temp财务部报表_有人事号!$A$2:$D$400,1,))=TRUE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expression" priority="102" id="{00000000-0000-0000-0000-000000000000}">
            <xm:f>ISERROR(VLOOKUP(D141,Temp财务部报表_有人事号!$A$2:$D$400,1,))=TRUE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E141</xm:sqref>
        </x14:conditionalFormatting>
        <x14:conditionalFormatting xmlns:xm="http://schemas.microsoft.com/office/excel/2006/main">
          <x14:cfRule type="expression" priority="101" id="{00000000-0000-0000-0000-000000000000}">
            <xm:f>ISERROR(VLOOKUP(D142,Temp财务部报表_有人事号!$A$2:$D$400,1,))=TRUE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E142</xm:sqref>
        </x14:conditionalFormatting>
        <x14:conditionalFormatting xmlns:xm="http://schemas.microsoft.com/office/excel/2006/main">
          <x14:cfRule type="expression" priority="100" id="{00000000-0000-0000-0000-000000000000}">
            <xm:f>ISERROR(VLOOKUP(D143,Temp财务部报表_有人事号!$A$2:$D$400,1,))=TRUE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E143</xm:sqref>
        </x14:conditionalFormatting>
        <x14:conditionalFormatting xmlns:xm="http://schemas.microsoft.com/office/excel/2006/main">
          <x14:cfRule type="expression" priority="99" id="{00000000-0000-0000-0000-000000000000}">
            <xm:f>ISERROR(VLOOKUP(D144,Temp财务部报表_有人事号!$A$2:$D$400,1,))=TRUE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E144</xm:sqref>
        </x14:conditionalFormatting>
        <x14:conditionalFormatting xmlns:xm="http://schemas.microsoft.com/office/excel/2006/main">
          <x14:cfRule type="expression" priority="98" id="{00000000-0000-0000-0000-000000000000}">
            <xm:f>ISERROR(VLOOKUP(D145,Temp财务部报表_有人事号!$A$2:$D$400,1,))=TRUE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E145</xm:sqref>
        </x14:conditionalFormatting>
        <x14:conditionalFormatting xmlns:xm="http://schemas.microsoft.com/office/excel/2006/main">
          <x14:cfRule type="expression" priority="97" id="{00000000-0000-0000-0000-000000000000}">
            <xm:f>ISERROR(VLOOKUP(D146,Temp财务部报表_有人事号!$A$2:$D$400,1,))=TRUE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E146</xm:sqref>
        </x14:conditionalFormatting>
        <x14:conditionalFormatting xmlns:xm="http://schemas.microsoft.com/office/excel/2006/main">
          <x14:cfRule type="expression" priority="96" id="{00000000-0000-0000-0000-000000000000}">
            <xm:f>ISERROR(VLOOKUP(D147,Temp财务部报表_有人事号!$A$2:$D$400,1,))=TRUE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E147</xm:sqref>
        </x14:conditionalFormatting>
        <x14:conditionalFormatting xmlns:xm="http://schemas.microsoft.com/office/excel/2006/main">
          <x14:cfRule type="expression" priority="95" id="{00000000-0000-0000-0000-000000000000}">
            <xm:f>ISERROR(VLOOKUP(D148,Temp财务部报表_有人事号!$A$2:$D$400,1,))=TRUE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expression" priority="94" id="{00000000-0000-0000-0000-000000000000}">
            <xm:f>ISERROR(VLOOKUP(D149,Temp财务部报表_有人事号!$A$2:$D$400,1,))=TRUE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E149</xm:sqref>
        </x14:conditionalFormatting>
        <x14:conditionalFormatting xmlns:xm="http://schemas.microsoft.com/office/excel/2006/main">
          <x14:cfRule type="expression" priority="93" id="{00000000-0000-0000-0000-000000000000}">
            <xm:f>ISERROR(VLOOKUP(D150,Temp财务部报表_有人事号!$A$2:$D$400,1,))=TRUE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E150</xm:sqref>
        </x14:conditionalFormatting>
        <x14:conditionalFormatting xmlns:xm="http://schemas.microsoft.com/office/excel/2006/main">
          <x14:cfRule type="expression" priority="92" id="{00000000-0000-0000-0000-000000000000}">
            <xm:f>ISERROR(VLOOKUP(D151,Temp财务部报表_有人事号!$A$2:$D$400,1,))=TRUE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E151</xm:sqref>
        </x14:conditionalFormatting>
        <x14:conditionalFormatting xmlns:xm="http://schemas.microsoft.com/office/excel/2006/main">
          <x14:cfRule type="expression" priority="91" id="{00000000-0000-0000-0000-000000000000}">
            <xm:f>ISERROR(VLOOKUP(D152,Temp财务部报表_有人事号!$A$2:$D$400,1,))=TRUE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E152</xm:sqref>
        </x14:conditionalFormatting>
        <x14:conditionalFormatting xmlns:xm="http://schemas.microsoft.com/office/excel/2006/main">
          <x14:cfRule type="expression" priority="90" id="{00000000-0000-0000-0000-000000000000}">
            <xm:f>ISERROR(VLOOKUP(D153,Temp财务部报表_有人事号!$A$2:$D$400,1,))=TRUE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E153</xm:sqref>
        </x14:conditionalFormatting>
        <x14:conditionalFormatting xmlns:xm="http://schemas.microsoft.com/office/excel/2006/main">
          <x14:cfRule type="expression" priority="89" id="{00000000-0000-0000-0000-000000000000}">
            <xm:f>ISERROR(VLOOKUP(D154,Temp财务部报表_有人事号!$A$2:$D$400,1,))=TRUE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expression" priority="88" id="{00000000-0000-0000-0000-000000000000}">
            <xm:f>ISERROR(VLOOKUP(D155,Temp财务部报表_有人事号!$A$2:$D$400,1,))=TRUE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E155</xm:sqref>
        </x14:conditionalFormatting>
        <x14:conditionalFormatting xmlns:xm="http://schemas.microsoft.com/office/excel/2006/main">
          <x14:cfRule type="expression" priority="87" id="{00000000-0000-0000-0000-000000000000}">
            <xm:f>ISERROR(VLOOKUP(D156,Temp财务部报表_有人事号!$A$2:$D$400,1,))=TRUE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E156</xm:sqref>
        </x14:conditionalFormatting>
        <x14:conditionalFormatting xmlns:xm="http://schemas.microsoft.com/office/excel/2006/main">
          <x14:cfRule type="expression" priority="86" id="{00000000-0000-0000-0000-000000000000}">
            <xm:f>ISERROR(VLOOKUP(D157,Temp财务部报表_有人事号!$A$2:$D$400,1,))=TRUE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E157</xm:sqref>
        </x14:conditionalFormatting>
        <x14:conditionalFormatting xmlns:xm="http://schemas.microsoft.com/office/excel/2006/main">
          <x14:cfRule type="expression" priority="85" id="{00000000-0000-0000-0000-000000000000}">
            <xm:f>ISERROR(VLOOKUP(D158,Temp财务部报表_有人事号!$A$2:$D$400,1,))=TRUE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E158</xm:sqref>
        </x14:conditionalFormatting>
        <x14:conditionalFormatting xmlns:xm="http://schemas.microsoft.com/office/excel/2006/main">
          <x14:cfRule type="expression" priority="84" id="{00000000-0000-0000-0000-000000000000}">
            <xm:f>ISERROR(VLOOKUP(D159,Temp财务部报表_有人事号!$A$2:$D$400,1,))=TRUE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E159</xm:sqref>
        </x14:conditionalFormatting>
        <x14:conditionalFormatting xmlns:xm="http://schemas.microsoft.com/office/excel/2006/main">
          <x14:cfRule type="expression" priority="83" id="{00000000-0000-0000-0000-000000000000}">
            <xm:f>ISERROR(VLOOKUP(D160,Temp财务部报表_有人事号!$A$2:$D$400,1,))=TRUE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E160</xm:sqref>
        </x14:conditionalFormatting>
        <x14:conditionalFormatting xmlns:xm="http://schemas.microsoft.com/office/excel/2006/main">
          <x14:cfRule type="expression" priority="82" id="{00000000-0000-0000-0000-000000000000}">
            <xm:f>ISERROR(VLOOKUP(D161,Temp财务部报表_有人事号!$A$2:$D$400,1,))=TRUE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E161</xm:sqref>
        </x14:conditionalFormatting>
        <x14:conditionalFormatting xmlns:xm="http://schemas.microsoft.com/office/excel/2006/main">
          <x14:cfRule type="expression" priority="81" id="{00000000-0000-0000-0000-000000000000}">
            <xm:f>ISERROR(VLOOKUP(D162,Temp财务部报表_有人事号!$A$2:$D$400,1,))=TRUE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E162</xm:sqref>
        </x14:conditionalFormatting>
        <x14:conditionalFormatting xmlns:xm="http://schemas.microsoft.com/office/excel/2006/main">
          <x14:cfRule type="expression" priority="80" id="{00000000-0000-0000-0000-000000000000}">
            <xm:f>ISERROR(VLOOKUP(D163,Temp财务部报表_有人事号!$A$2:$D$400,1,))=TRUE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E163</xm:sqref>
        </x14:conditionalFormatting>
        <x14:conditionalFormatting xmlns:xm="http://schemas.microsoft.com/office/excel/2006/main">
          <x14:cfRule type="expression" priority="79" id="{00000000-0000-0000-0000-000000000000}">
            <xm:f>ISERROR(VLOOKUP(D164,Temp财务部报表_有人事号!$A$2:$D$400,1,))=TRUE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E164</xm:sqref>
        </x14:conditionalFormatting>
        <x14:conditionalFormatting xmlns:xm="http://schemas.microsoft.com/office/excel/2006/main">
          <x14:cfRule type="expression" priority="78" id="{00000000-0000-0000-0000-000000000000}">
            <xm:f>ISERROR(VLOOKUP(D165,Temp财务部报表_有人事号!$A$2:$D$400,1,))=TRUE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E165</xm:sqref>
        </x14:conditionalFormatting>
        <x14:conditionalFormatting xmlns:xm="http://schemas.microsoft.com/office/excel/2006/main">
          <x14:cfRule type="expression" priority="77" id="{00000000-0000-0000-0000-000000000000}">
            <xm:f>ISERROR(VLOOKUP(D166,Temp财务部报表_有人事号!$A$2:$D$400,1,))=TRUE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E166</xm:sqref>
        </x14:conditionalFormatting>
        <x14:conditionalFormatting xmlns:xm="http://schemas.microsoft.com/office/excel/2006/main">
          <x14:cfRule type="expression" priority="76" id="{00000000-0000-0000-0000-000000000000}">
            <xm:f>ISERROR(VLOOKUP(D167,Temp财务部报表_有人事号!$A$2:$D$400,1,))=TRUE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E167</xm:sqref>
        </x14:conditionalFormatting>
        <x14:conditionalFormatting xmlns:xm="http://schemas.microsoft.com/office/excel/2006/main">
          <x14:cfRule type="expression" priority="75" id="{00000000-0000-0000-0000-000000000000}">
            <xm:f>ISERROR(VLOOKUP(D168,Temp财务部报表_有人事号!$A$2:$D$400,1,))=TRUE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E168</xm:sqref>
        </x14:conditionalFormatting>
        <x14:conditionalFormatting xmlns:xm="http://schemas.microsoft.com/office/excel/2006/main">
          <x14:cfRule type="expression" priority="74" id="{00000000-0000-0000-0000-000000000000}">
            <xm:f>ISERROR(VLOOKUP(D169,Temp财务部报表_有人事号!$A$2:$D$400,1,))=TRUE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E169</xm:sqref>
        </x14:conditionalFormatting>
        <x14:conditionalFormatting xmlns:xm="http://schemas.microsoft.com/office/excel/2006/main">
          <x14:cfRule type="expression" priority="73" id="{00000000-0000-0000-0000-000000000000}">
            <xm:f>ISERROR(VLOOKUP(D170,Temp财务部报表_有人事号!$A$2:$D$400,1,))=TRUE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E170</xm:sqref>
        </x14:conditionalFormatting>
        <x14:conditionalFormatting xmlns:xm="http://schemas.microsoft.com/office/excel/2006/main">
          <x14:cfRule type="expression" priority="72" id="{00000000-0000-0000-0000-000000000000}">
            <xm:f>ISERROR(VLOOKUP(D171,Temp财务部报表_有人事号!$A$2:$D$400,1,))=TRUE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E171</xm:sqref>
        </x14:conditionalFormatting>
        <x14:conditionalFormatting xmlns:xm="http://schemas.microsoft.com/office/excel/2006/main">
          <x14:cfRule type="expression" priority="71" id="{00000000-0000-0000-0000-000000000000}">
            <xm:f>ISERROR(VLOOKUP(D172,Temp财务部报表_有人事号!$A$2:$D$400,1,))=TRUE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E172</xm:sqref>
        </x14:conditionalFormatting>
        <x14:conditionalFormatting xmlns:xm="http://schemas.microsoft.com/office/excel/2006/main">
          <x14:cfRule type="expression" priority="70" id="{00000000-0000-0000-0000-000000000000}">
            <xm:f>ISERROR(VLOOKUP(D173,Temp财务部报表_有人事号!$A$2:$D$400,1,))=TRUE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E173</xm:sqref>
        </x14:conditionalFormatting>
        <x14:conditionalFormatting xmlns:xm="http://schemas.microsoft.com/office/excel/2006/main">
          <x14:cfRule type="expression" priority="69" id="{00000000-0000-0000-0000-000000000000}">
            <xm:f>ISERROR(VLOOKUP(D174,Temp财务部报表_有人事号!$A$2:$D$400,1,))=TRUE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E174</xm:sqref>
        </x14:conditionalFormatting>
        <x14:conditionalFormatting xmlns:xm="http://schemas.microsoft.com/office/excel/2006/main">
          <x14:cfRule type="expression" priority="68" id="{00000000-0000-0000-0000-000000000000}">
            <xm:f>ISERROR(VLOOKUP(D175,Temp财务部报表_有人事号!$A$2:$D$400,1,))=TRUE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E175</xm:sqref>
        </x14:conditionalFormatting>
        <x14:conditionalFormatting xmlns:xm="http://schemas.microsoft.com/office/excel/2006/main">
          <x14:cfRule type="expression" priority="67" id="{00000000-0000-0000-0000-000000000000}">
            <xm:f>ISERROR(VLOOKUP(D176,Temp财务部报表_有人事号!$A$2:$D$400,1,))=TRUE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E176</xm:sqref>
        </x14:conditionalFormatting>
        <x14:conditionalFormatting xmlns:xm="http://schemas.microsoft.com/office/excel/2006/main">
          <x14:cfRule type="expression" priority="66" id="{00000000-0000-0000-0000-000000000000}">
            <xm:f>ISERROR(VLOOKUP(D177,Temp财务部报表_有人事号!$A$2:$D$400,1,))=TRUE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E177</xm:sqref>
        </x14:conditionalFormatting>
        <x14:conditionalFormatting xmlns:xm="http://schemas.microsoft.com/office/excel/2006/main">
          <x14:cfRule type="expression" priority="65" id="{00000000-0000-0000-0000-000000000000}">
            <xm:f>ISERROR(VLOOKUP(D178,Temp财务部报表_有人事号!$A$2:$D$400,1,))=TRUE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E178</xm:sqref>
        </x14:conditionalFormatting>
        <x14:conditionalFormatting xmlns:xm="http://schemas.microsoft.com/office/excel/2006/main">
          <x14:cfRule type="expression" priority="64" id="{00000000-0000-0000-0000-000000000000}">
            <xm:f>ISERROR(VLOOKUP(D179,Temp财务部报表_有人事号!$A$2:$D$400,1,))=TRUE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E179</xm:sqref>
        </x14:conditionalFormatting>
        <x14:conditionalFormatting xmlns:xm="http://schemas.microsoft.com/office/excel/2006/main">
          <x14:cfRule type="expression" priority="63" id="{00000000-0000-0000-0000-000000000000}">
            <xm:f>ISERROR(VLOOKUP(D180,Temp财务部报表_有人事号!$A$2:$D$400,1,))=TRUE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E180</xm:sqref>
        </x14:conditionalFormatting>
        <x14:conditionalFormatting xmlns:xm="http://schemas.microsoft.com/office/excel/2006/main">
          <x14:cfRule type="expression" priority="62" id="{00000000-0000-0000-0000-000000000000}">
            <xm:f>ISERROR(VLOOKUP(D181,Temp财务部报表_有人事号!$A$2:$D$400,1,))=TRUE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E181</xm:sqref>
        </x14:conditionalFormatting>
        <x14:conditionalFormatting xmlns:xm="http://schemas.microsoft.com/office/excel/2006/main">
          <x14:cfRule type="expression" priority="61" id="{00000000-0000-0000-0000-000000000000}">
            <xm:f>ISERROR(VLOOKUP(D182,Temp财务部报表_有人事号!$A$2:$D$400,1,))=TRUE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E182</xm:sqref>
        </x14:conditionalFormatting>
        <x14:conditionalFormatting xmlns:xm="http://schemas.microsoft.com/office/excel/2006/main">
          <x14:cfRule type="expression" priority="60" id="{00000000-0000-0000-0000-000000000000}">
            <xm:f>ISERROR(VLOOKUP(D183,Temp财务部报表_有人事号!$A$2:$D$400,1,))=TRUE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E183</xm:sqref>
        </x14:conditionalFormatting>
        <x14:conditionalFormatting xmlns:xm="http://schemas.microsoft.com/office/excel/2006/main">
          <x14:cfRule type="expression" priority="59" id="{00000000-0000-0000-0000-000000000000}">
            <xm:f>ISERROR(VLOOKUP(D184,Temp财务部报表_有人事号!$A$2:$D$400,1,))=TRUE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E184</xm:sqref>
        </x14:conditionalFormatting>
        <x14:conditionalFormatting xmlns:xm="http://schemas.microsoft.com/office/excel/2006/main">
          <x14:cfRule type="expression" priority="58" id="{00000000-0000-0000-0000-000000000000}">
            <xm:f>ISERROR(VLOOKUP(D185,Temp财务部报表_有人事号!$A$2:$D$400,1,))=TRUE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E185</xm:sqref>
        </x14:conditionalFormatting>
        <x14:conditionalFormatting xmlns:xm="http://schemas.microsoft.com/office/excel/2006/main">
          <x14:cfRule type="expression" priority="57" id="{00000000-0000-0000-0000-000000000000}">
            <xm:f>ISERROR(VLOOKUP(D186,Temp财务部报表_有人事号!$A$2:$D$400,1,))=TRUE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E186</xm:sqref>
        </x14:conditionalFormatting>
        <x14:conditionalFormatting xmlns:xm="http://schemas.microsoft.com/office/excel/2006/main">
          <x14:cfRule type="expression" priority="56" id="{00000000-0000-0000-0000-000000000000}">
            <xm:f>ISERROR(VLOOKUP(D187,Temp财务部报表_有人事号!$A$2:$D$400,1,))=TRUE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E187</xm:sqref>
        </x14:conditionalFormatting>
        <x14:conditionalFormatting xmlns:xm="http://schemas.microsoft.com/office/excel/2006/main">
          <x14:cfRule type="expression" priority="55" id="{00000000-0000-0000-0000-000000000000}">
            <xm:f>ISERROR(VLOOKUP(D188,Temp财务部报表_有人事号!$A$2:$D$400,1,))=TRUE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E188</xm:sqref>
        </x14:conditionalFormatting>
        <x14:conditionalFormatting xmlns:xm="http://schemas.microsoft.com/office/excel/2006/main">
          <x14:cfRule type="expression" priority="54" id="{00000000-0000-0000-0000-000000000000}">
            <xm:f>ISERROR(VLOOKUP(D189,Temp财务部报表_有人事号!$A$2:$D$400,1,))=TRUE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E189</xm:sqref>
        </x14:conditionalFormatting>
        <x14:conditionalFormatting xmlns:xm="http://schemas.microsoft.com/office/excel/2006/main">
          <x14:cfRule type="expression" priority="53" id="{00000000-0000-0000-0000-000000000000}">
            <xm:f>ISERROR(VLOOKUP(D190,Temp财务部报表_有人事号!$A$2:$D$400,1,))=TRUE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expression" priority="52" id="{00000000-0000-0000-0000-000000000000}">
            <xm:f>ISERROR(VLOOKUP(D191,Temp财务部报表_有人事号!$A$2:$D$400,1,))=TRUE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E191</xm:sqref>
        </x14:conditionalFormatting>
        <x14:conditionalFormatting xmlns:xm="http://schemas.microsoft.com/office/excel/2006/main">
          <x14:cfRule type="expression" priority="51" id="{00000000-0000-0000-0000-000000000000}">
            <xm:f>ISERROR(VLOOKUP(D192,Temp财务部报表_有人事号!$A$2:$D$400,1,))=TRUE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E192</xm:sqref>
        </x14:conditionalFormatting>
        <x14:conditionalFormatting xmlns:xm="http://schemas.microsoft.com/office/excel/2006/main">
          <x14:cfRule type="expression" priority="50" id="{00000000-0000-0000-0000-000000000000}">
            <xm:f>ISERROR(VLOOKUP(D193,Temp财务部报表_有人事号!$A$2:$D$400,1,))=TRUE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E193</xm:sqref>
        </x14:conditionalFormatting>
        <x14:conditionalFormatting xmlns:xm="http://schemas.microsoft.com/office/excel/2006/main">
          <x14:cfRule type="expression" priority="49" id="{00000000-0000-0000-0000-000000000000}">
            <xm:f>ISERROR(VLOOKUP(D194,Temp财务部报表_有人事号!$A$2:$D$400,1,))=TRUE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E194</xm:sqref>
        </x14:conditionalFormatting>
        <x14:conditionalFormatting xmlns:xm="http://schemas.microsoft.com/office/excel/2006/main">
          <x14:cfRule type="expression" priority="48" id="{00000000-0000-0000-0000-000000000000}">
            <xm:f>ISERROR(VLOOKUP(D195,Temp财务部报表_有人事号!$A$2:$D$400,1,))=TRUE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E195</xm:sqref>
        </x14:conditionalFormatting>
        <x14:conditionalFormatting xmlns:xm="http://schemas.microsoft.com/office/excel/2006/main">
          <x14:cfRule type="expression" priority="47" id="{00000000-0000-0000-0000-000000000000}">
            <xm:f>ISERROR(VLOOKUP(D196,Temp财务部报表_有人事号!$A$2:$D$400,1,))=TRUE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E196</xm:sqref>
        </x14:conditionalFormatting>
        <x14:conditionalFormatting xmlns:xm="http://schemas.microsoft.com/office/excel/2006/main">
          <x14:cfRule type="expression" priority="46" id="{00000000-0000-0000-0000-000000000000}">
            <xm:f>ISERROR(VLOOKUP(D197,Temp财务部报表_有人事号!$A$2:$D$400,1,))=TRUE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E197</xm:sqref>
        </x14:conditionalFormatting>
        <x14:conditionalFormatting xmlns:xm="http://schemas.microsoft.com/office/excel/2006/main">
          <x14:cfRule type="expression" priority="45" id="{00000000-0000-0000-0000-000000000000}">
            <xm:f>ISERROR(VLOOKUP(D198,Temp财务部报表_有人事号!$A$2:$D$400,1,))=TRUE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E198</xm:sqref>
        </x14:conditionalFormatting>
        <x14:conditionalFormatting xmlns:xm="http://schemas.microsoft.com/office/excel/2006/main">
          <x14:cfRule type="expression" priority="44" id="{00000000-0000-0000-0000-000000000000}">
            <xm:f>ISERROR(VLOOKUP(D199,Temp财务部报表_有人事号!$A$2:$D$400,1,))=TRUE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E199</xm:sqref>
        </x14:conditionalFormatting>
        <x14:conditionalFormatting xmlns:xm="http://schemas.microsoft.com/office/excel/2006/main">
          <x14:cfRule type="expression" priority="43" id="{00000000-0000-0000-0000-000000000000}">
            <xm:f>ISERROR(VLOOKUP(D200,Temp财务部报表_有人事号!$A$2:$D$400,1,))=TRUE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E200</xm:sqref>
        </x14:conditionalFormatting>
        <x14:conditionalFormatting xmlns:xm="http://schemas.microsoft.com/office/excel/2006/main">
          <x14:cfRule type="expression" priority="42" id="{00000000-0000-0000-0000-000000000000}">
            <xm:f>ISERROR(VLOOKUP(D201,Temp财务部报表_有人事号!$A$2:$D$400,1,))=TRUE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expression" priority="41" id="{00000000-0000-0000-0000-000000000000}">
            <xm:f>ISERROR(VLOOKUP(D202,Temp财务部报表_有人事号!$A$2:$D$400,1,))=TRUE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E202</xm:sqref>
        </x14:conditionalFormatting>
        <x14:conditionalFormatting xmlns:xm="http://schemas.microsoft.com/office/excel/2006/main">
          <x14:cfRule type="expression" priority="40" id="{00000000-0000-0000-0000-000000000000}">
            <xm:f>ISERROR(VLOOKUP(D203,Temp财务部报表_有人事号!$A$2:$D$400,1,))=TRUE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E203</xm:sqref>
        </x14:conditionalFormatting>
        <x14:conditionalFormatting xmlns:xm="http://schemas.microsoft.com/office/excel/2006/main">
          <x14:cfRule type="expression" priority="39" id="{00000000-0000-0000-0000-000000000000}">
            <xm:f>ISERROR(VLOOKUP(D204,Temp财务部报表_有人事号!$A$2:$D$400,1,))=TRUE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E204</xm:sqref>
        </x14:conditionalFormatting>
        <x14:conditionalFormatting xmlns:xm="http://schemas.microsoft.com/office/excel/2006/main">
          <x14:cfRule type="expression" priority="38" id="{00000000-0000-0000-0000-000000000000}">
            <xm:f>ISERROR(VLOOKUP(D205,Temp财务部报表_有人事号!$A$2:$D$400,1,))=TRUE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E205</xm:sqref>
        </x14:conditionalFormatting>
        <x14:conditionalFormatting xmlns:xm="http://schemas.microsoft.com/office/excel/2006/main">
          <x14:cfRule type="expression" priority="37" id="{00000000-0000-0000-0000-000000000000}">
            <xm:f>ISERROR(VLOOKUP(D206,Temp财务部报表_有人事号!$A$2:$D$400,1,))=TRUE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E206</xm:sqref>
        </x14:conditionalFormatting>
        <x14:conditionalFormatting xmlns:xm="http://schemas.microsoft.com/office/excel/2006/main">
          <x14:cfRule type="expression" priority="36" id="{00000000-0000-0000-0000-000000000000}">
            <xm:f>ISERROR(VLOOKUP(D207,Temp财务部报表_有人事号!$A$2:$D$400,1,))=TRUE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E207</xm:sqref>
        </x14:conditionalFormatting>
        <x14:conditionalFormatting xmlns:xm="http://schemas.microsoft.com/office/excel/2006/main">
          <x14:cfRule type="expression" priority="35" id="{00000000-0000-0000-0000-000000000000}">
            <xm:f>ISERROR(VLOOKUP(D208,Temp财务部报表_有人事号!$A$2:$D$400,1,))=TRUE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E208</xm:sqref>
        </x14:conditionalFormatting>
        <x14:conditionalFormatting xmlns:xm="http://schemas.microsoft.com/office/excel/2006/main">
          <x14:cfRule type="expression" priority="34" id="{00000000-0000-0000-0000-000000000000}">
            <xm:f>ISERROR(VLOOKUP(D209,Temp财务部报表_有人事号!$A$2:$D$400,1,))=TRUE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E209</xm:sqref>
        </x14:conditionalFormatting>
        <x14:conditionalFormatting xmlns:xm="http://schemas.microsoft.com/office/excel/2006/main">
          <x14:cfRule type="expression" priority="33" id="{00000000-0000-0000-0000-000000000000}">
            <xm:f>ISERROR(VLOOKUP(D210,Temp财务部报表_有人事号!$A$2:$D$400,1,))=TRUE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E210</xm:sqref>
        </x14:conditionalFormatting>
        <x14:conditionalFormatting xmlns:xm="http://schemas.microsoft.com/office/excel/2006/main">
          <x14:cfRule type="expression" priority="32" id="{00000000-0000-0000-0000-000000000000}">
            <xm:f>ISERROR(VLOOKUP(D211,Temp财务部报表_有人事号!$A$2:$D$400,1,))=TRUE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E211</xm:sqref>
        </x14:conditionalFormatting>
        <x14:conditionalFormatting xmlns:xm="http://schemas.microsoft.com/office/excel/2006/main">
          <x14:cfRule type="expression" priority="31" id="{00000000-0000-0000-0000-000000000000}">
            <xm:f>ISERROR(VLOOKUP(D212,Temp财务部报表_有人事号!$A$2:$D$400,1,))=TRUE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E212</xm:sqref>
        </x14:conditionalFormatting>
        <x14:conditionalFormatting xmlns:xm="http://schemas.microsoft.com/office/excel/2006/main">
          <x14:cfRule type="expression" priority="30" id="{00000000-0000-0000-0000-000000000000}">
            <xm:f>ISERROR(VLOOKUP(D213,Temp财务部报表_有人事号!$A$2:$D$400,1,))=TRUE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E213</xm:sqref>
        </x14:conditionalFormatting>
        <x14:conditionalFormatting xmlns:xm="http://schemas.microsoft.com/office/excel/2006/main">
          <x14:cfRule type="expression" priority="29" id="{00000000-0000-0000-0000-000000000000}">
            <xm:f>ISERROR(VLOOKUP(D214,Temp财务部报表_有人事号!$A$2:$D$400,1,))=TRUE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E214</xm:sqref>
        </x14:conditionalFormatting>
        <x14:conditionalFormatting xmlns:xm="http://schemas.microsoft.com/office/excel/2006/main">
          <x14:cfRule type="expression" priority="28" id="{00000000-0000-0000-0000-000000000000}">
            <xm:f>ISERROR(VLOOKUP(D215,Temp财务部报表_有人事号!$A$2:$D$400,1,))=TRUE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E215</xm:sqref>
        </x14:conditionalFormatting>
        <x14:conditionalFormatting xmlns:xm="http://schemas.microsoft.com/office/excel/2006/main">
          <x14:cfRule type="expression" priority="27" id="{00000000-0000-0000-0000-000000000000}">
            <xm:f>ISERROR(VLOOKUP(D216,Temp财务部报表_有人事号!$A$2:$D$400,1,))=TRUE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E216</xm:sqref>
        </x14:conditionalFormatting>
        <x14:conditionalFormatting xmlns:xm="http://schemas.microsoft.com/office/excel/2006/main">
          <x14:cfRule type="expression" priority="26" id="{00000000-0000-0000-0000-000000000000}">
            <xm:f>ISERROR(VLOOKUP(D217,Temp财务部报表_有人事号!$A$2:$D$400,1,))=TRUE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E217</xm:sqref>
        </x14:conditionalFormatting>
        <x14:conditionalFormatting xmlns:xm="http://schemas.microsoft.com/office/excel/2006/main">
          <x14:cfRule type="expression" priority="25" id="{00000000-0000-0000-0000-000000000000}">
            <xm:f>ISERROR(VLOOKUP(D218,Temp财务部报表_有人事号!$A$2:$D$400,1,))=TRUE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E218</xm:sqref>
        </x14:conditionalFormatting>
        <x14:conditionalFormatting xmlns:xm="http://schemas.microsoft.com/office/excel/2006/main">
          <x14:cfRule type="expression" priority="24" id="{00000000-0000-0000-0000-000000000000}">
            <xm:f>ISERROR(VLOOKUP(D219,Temp财务部报表_有人事号!$A$2:$D$400,1,))=TRUE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E219</xm:sqref>
        </x14:conditionalFormatting>
        <x14:conditionalFormatting xmlns:xm="http://schemas.microsoft.com/office/excel/2006/main">
          <x14:cfRule type="expression" priority="23" id="{00000000-0000-0000-0000-000000000000}">
            <xm:f>ISERROR(VLOOKUP(D220,Temp财务部报表_有人事号!$A$2:$D$400,1,))=TRUE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E220</xm:sqref>
        </x14:conditionalFormatting>
        <x14:conditionalFormatting xmlns:xm="http://schemas.microsoft.com/office/excel/2006/main">
          <x14:cfRule type="expression" priority="22" id="{00000000-0000-0000-0000-000000000000}">
            <xm:f>ISERROR(VLOOKUP(D221,Temp财务部报表_有人事号!$A$2:$D$400,1,))=TRUE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E221</xm:sqref>
        </x14:conditionalFormatting>
        <x14:conditionalFormatting xmlns:xm="http://schemas.microsoft.com/office/excel/2006/main">
          <x14:cfRule type="expression" priority="21" id="{00000000-0000-0000-0000-000000000000}">
            <xm:f>ISERROR(VLOOKUP(D222,Temp财务部报表_有人事号!$A$2:$D$400,1,))=TRUE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E222</xm:sqref>
        </x14:conditionalFormatting>
        <x14:conditionalFormatting xmlns:xm="http://schemas.microsoft.com/office/excel/2006/main">
          <x14:cfRule type="expression" priority="20" id="{00000000-0000-0000-0000-000000000000}">
            <xm:f>ISERROR(VLOOKUP(D223,Temp财务部报表_有人事号!$A$2:$D$400,1,))=TRUE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E223</xm:sqref>
        </x14:conditionalFormatting>
        <x14:conditionalFormatting xmlns:xm="http://schemas.microsoft.com/office/excel/2006/main">
          <x14:cfRule type="expression" priority="19" id="{00000000-0000-0000-0000-000000000000}">
            <xm:f>ISERROR(VLOOKUP(D224,Temp财务部报表_有人事号!$A$2:$D$400,1,))=TRUE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E224</xm:sqref>
        </x14:conditionalFormatting>
        <x14:conditionalFormatting xmlns:xm="http://schemas.microsoft.com/office/excel/2006/main">
          <x14:cfRule type="expression" priority="18" id="{00000000-0000-0000-0000-000000000000}">
            <xm:f>ISERROR(VLOOKUP(D225,Temp财务部报表_有人事号!$A$2:$D$400,1,))=TRUE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E225</xm:sqref>
        </x14:conditionalFormatting>
        <x14:conditionalFormatting xmlns:xm="http://schemas.microsoft.com/office/excel/2006/main">
          <x14:cfRule type="expression" priority="17" id="{00000000-0000-0000-0000-000000000000}">
            <xm:f>ISERROR(VLOOKUP(D226,Temp财务部报表_有人事号!$A$2:$D$400,1,))=TRUE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E226</xm:sqref>
        </x14:conditionalFormatting>
        <x14:conditionalFormatting xmlns:xm="http://schemas.microsoft.com/office/excel/2006/main">
          <x14:cfRule type="expression" priority="16" id="{00000000-0000-0000-0000-000000000000}">
            <xm:f>ISERROR(VLOOKUP(D227,Temp财务部报表_有人事号!$A$2:$D$400,1,))=TRUE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E227</xm:sqref>
        </x14:conditionalFormatting>
        <x14:conditionalFormatting xmlns:xm="http://schemas.microsoft.com/office/excel/2006/main">
          <x14:cfRule type="expression" priority="15" id="{00000000-0000-0000-0000-000000000000}">
            <xm:f>ISERROR(VLOOKUP(D228,Temp财务部报表_有人事号!$A$2:$D$400,1,))=TRUE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E228</xm:sqref>
        </x14:conditionalFormatting>
        <x14:conditionalFormatting xmlns:xm="http://schemas.microsoft.com/office/excel/2006/main">
          <x14:cfRule type="expression" priority="14" id="{00000000-0000-0000-0000-000000000000}">
            <xm:f>ISERROR(VLOOKUP(D229,Temp财务部报表_有人事号!$A$2:$D$400,1,))=TRUE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E229</xm:sqref>
        </x14:conditionalFormatting>
        <x14:conditionalFormatting xmlns:xm="http://schemas.microsoft.com/office/excel/2006/main">
          <x14:cfRule type="expression" priority="13" id="{00000000-0000-0000-0000-000000000000}">
            <xm:f>ISERROR(VLOOKUP(D230,Temp财务部报表_有人事号!$A$2:$D$400,1,))=TRUE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E230</xm:sqref>
        </x14:conditionalFormatting>
        <x14:conditionalFormatting xmlns:xm="http://schemas.microsoft.com/office/excel/2006/main">
          <x14:cfRule type="expression" priority="12" id="{00000000-0000-0000-0000-000000000000}">
            <xm:f>ISERROR(VLOOKUP(D231,Temp财务部报表_有人事号!$A$2:$D$400,1,))=TRUE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E231</xm:sqref>
        </x14:conditionalFormatting>
        <x14:conditionalFormatting xmlns:xm="http://schemas.microsoft.com/office/excel/2006/main">
          <x14:cfRule type="expression" priority="11" id="{00000000-0000-0000-0000-000000000000}">
            <xm:f>ISERROR(VLOOKUP(D232,Temp财务部报表_有人事号!$A$2:$D$400,1,))=TRUE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E232</xm:sqref>
        </x14:conditionalFormatting>
        <x14:conditionalFormatting xmlns:xm="http://schemas.microsoft.com/office/excel/2006/main">
          <x14:cfRule type="expression" priority="10" id="{00000000-0000-0000-0000-000000000000}">
            <xm:f>ISERROR(VLOOKUP(D233,Temp财务部报表_有人事号!$A$2:$D$400,1,))=TRUE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E233</xm:sqref>
        </x14:conditionalFormatting>
        <x14:conditionalFormatting xmlns:xm="http://schemas.microsoft.com/office/excel/2006/main">
          <x14:cfRule type="expression" priority="9" id="{00000000-0000-0000-0000-000000000000}">
            <xm:f>ISERROR(VLOOKUP(D234,Temp财务部报表_有人事号!$A$2:$D$400,1,))=TRUE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E234</xm:sqref>
        </x14:conditionalFormatting>
        <x14:conditionalFormatting xmlns:xm="http://schemas.microsoft.com/office/excel/2006/main">
          <x14:cfRule type="expression" priority="8" id="{00000000-0000-0000-0000-000000000000}">
            <xm:f>ISERROR(VLOOKUP(D235,Temp财务部报表_有人事号!$A$2:$D$400,1,))=TRUE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E235</xm:sqref>
        </x14:conditionalFormatting>
        <x14:conditionalFormatting xmlns:xm="http://schemas.microsoft.com/office/excel/2006/main">
          <x14:cfRule type="expression" priority="7" id="{00000000-0000-0000-0000-000000000000}">
            <xm:f>ISERROR(VLOOKUP(D236,Temp财务部报表_有人事号!$A$2:$D$400,1,))=TRUE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E236</xm:sqref>
        </x14:conditionalFormatting>
        <x14:conditionalFormatting xmlns:xm="http://schemas.microsoft.com/office/excel/2006/main">
          <x14:cfRule type="expression" priority="6" id="{00000000-0000-0000-0000-000000000000}">
            <xm:f>ISERROR(VLOOKUP(D237,Temp财务部报表_有人事号!$A$2:$D$400,1,))=TRUE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E237</xm:sqref>
        </x14:conditionalFormatting>
        <x14:conditionalFormatting xmlns:xm="http://schemas.microsoft.com/office/excel/2006/main">
          <x14:cfRule type="expression" priority="5" id="{00000000-0000-0000-0000-000000000000}">
            <xm:f>ISERROR(VLOOKUP(D238,Temp财务部报表_有人事号!$A$2:$D$400,1,))=TRUE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E238</xm:sqref>
        </x14:conditionalFormatting>
        <x14:conditionalFormatting xmlns:xm="http://schemas.microsoft.com/office/excel/2006/main">
          <x14:cfRule type="expression" priority="4" id="{00000000-0000-0000-0000-000000000000}">
            <xm:f>ISERROR(VLOOKUP(D239,Temp财务部报表_有人事号!$A$2:$D$400,1,))=TRUE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E239</xm:sqref>
        </x14:conditionalFormatting>
        <x14:conditionalFormatting xmlns:xm="http://schemas.microsoft.com/office/excel/2006/main">
          <x14:cfRule type="expression" priority="3" id="{00000000-0000-0000-0000-000000000000}">
            <xm:f>ISERROR(VLOOKUP(D240,Temp财务部报表_有人事号!$A$2:$D$400,1,))=TRUE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E240</xm:sqref>
        </x14:conditionalFormatting>
        <x14:conditionalFormatting xmlns:xm="http://schemas.microsoft.com/office/excel/2006/main">
          <x14:cfRule type="expression" priority="2" id="{00000000-0000-0000-0000-000000000000}">
            <xm:f>ISERROR(VLOOKUP(D241,Temp财务部报表_有人事号!$A$2:$D$400,1,))=TRUE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E241</xm:sqref>
        </x14:conditionalFormatting>
        <x14:conditionalFormatting xmlns:xm="http://schemas.microsoft.com/office/excel/2006/main">
          <x14:cfRule type="expression" priority="1" id="{00000000-0000-0000-0000-000000000000}">
            <xm:f>ISERROR(VLOOKUP(D242,Temp财务部报表_有人事号!$A$2:$D$400,1,))=TRUE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E242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7"/>
  <sheetViews>
    <sheetView workbookViewId="0"/>
  </sheetViews>
  <sheetFormatPr defaultRowHeight="14.25"/>
  <cols>
    <col min="1" max="1" width="9" style="31"/>
    <col min="2" max="2" width="8" style="28" customWidth="1"/>
    <col min="3" max="3" width="10.75" style="32" customWidth="1"/>
    <col min="4" max="4" width="9.375" style="33" bestFit="1" customWidth="1"/>
    <col min="5" max="5" width="18.125" style="28" customWidth="1"/>
    <col min="6" max="6" width="12.75" style="34" customWidth="1"/>
    <col min="7" max="257" width="9" style="28"/>
    <col min="258" max="258" width="8" style="28" customWidth="1"/>
    <col min="259" max="259" width="10.75" style="28" customWidth="1"/>
    <col min="260" max="260" width="9.375" style="28" bestFit="1" customWidth="1"/>
    <col min="261" max="261" width="18.125" style="28" customWidth="1"/>
    <col min="262" max="262" width="12.75" style="28" customWidth="1"/>
    <col min="263" max="513" width="9" style="28"/>
    <col min="514" max="514" width="8" style="28" customWidth="1"/>
    <col min="515" max="515" width="10.75" style="28" customWidth="1"/>
    <col min="516" max="516" width="9.375" style="28" bestFit="1" customWidth="1"/>
    <col min="517" max="517" width="18.125" style="28" customWidth="1"/>
    <col min="518" max="518" width="12.75" style="28" customWidth="1"/>
    <col min="519" max="769" width="9" style="28"/>
    <col min="770" max="770" width="8" style="28" customWidth="1"/>
    <col min="771" max="771" width="10.75" style="28" customWidth="1"/>
    <col min="772" max="772" width="9.375" style="28" bestFit="1" customWidth="1"/>
    <col min="773" max="773" width="18.125" style="28" customWidth="1"/>
    <col min="774" max="774" width="12.75" style="28" customWidth="1"/>
    <col min="775" max="1025" width="9" style="28"/>
    <col min="1026" max="1026" width="8" style="28" customWidth="1"/>
    <col min="1027" max="1027" width="10.75" style="28" customWidth="1"/>
    <col min="1028" max="1028" width="9.375" style="28" bestFit="1" customWidth="1"/>
    <col min="1029" max="1029" width="18.125" style="28" customWidth="1"/>
    <col min="1030" max="1030" width="12.75" style="28" customWidth="1"/>
    <col min="1031" max="1281" width="9" style="28"/>
    <col min="1282" max="1282" width="8" style="28" customWidth="1"/>
    <col min="1283" max="1283" width="10.75" style="28" customWidth="1"/>
    <col min="1284" max="1284" width="9.375" style="28" bestFit="1" customWidth="1"/>
    <col min="1285" max="1285" width="18.125" style="28" customWidth="1"/>
    <col min="1286" max="1286" width="12.75" style="28" customWidth="1"/>
    <col min="1287" max="1537" width="9" style="28"/>
    <col min="1538" max="1538" width="8" style="28" customWidth="1"/>
    <col min="1539" max="1539" width="10.75" style="28" customWidth="1"/>
    <col min="1540" max="1540" width="9.375" style="28" bestFit="1" customWidth="1"/>
    <col min="1541" max="1541" width="18.125" style="28" customWidth="1"/>
    <col min="1542" max="1542" width="12.75" style="28" customWidth="1"/>
    <col min="1543" max="1793" width="9" style="28"/>
    <col min="1794" max="1794" width="8" style="28" customWidth="1"/>
    <col min="1795" max="1795" width="10.75" style="28" customWidth="1"/>
    <col min="1796" max="1796" width="9.375" style="28" bestFit="1" customWidth="1"/>
    <col min="1797" max="1797" width="18.125" style="28" customWidth="1"/>
    <col min="1798" max="1798" width="12.75" style="28" customWidth="1"/>
    <col min="1799" max="2049" width="9" style="28"/>
    <col min="2050" max="2050" width="8" style="28" customWidth="1"/>
    <col min="2051" max="2051" width="10.75" style="28" customWidth="1"/>
    <col min="2052" max="2052" width="9.375" style="28" bestFit="1" customWidth="1"/>
    <col min="2053" max="2053" width="18.125" style="28" customWidth="1"/>
    <col min="2054" max="2054" width="12.75" style="28" customWidth="1"/>
    <col min="2055" max="2305" width="9" style="28"/>
    <col min="2306" max="2306" width="8" style="28" customWidth="1"/>
    <col min="2307" max="2307" width="10.75" style="28" customWidth="1"/>
    <col min="2308" max="2308" width="9.375" style="28" bestFit="1" customWidth="1"/>
    <col min="2309" max="2309" width="18.125" style="28" customWidth="1"/>
    <col min="2310" max="2310" width="12.75" style="28" customWidth="1"/>
    <col min="2311" max="2561" width="9" style="28"/>
    <col min="2562" max="2562" width="8" style="28" customWidth="1"/>
    <col min="2563" max="2563" width="10.75" style="28" customWidth="1"/>
    <col min="2564" max="2564" width="9.375" style="28" bestFit="1" customWidth="1"/>
    <col min="2565" max="2565" width="18.125" style="28" customWidth="1"/>
    <col min="2566" max="2566" width="12.75" style="28" customWidth="1"/>
    <col min="2567" max="2817" width="9" style="28"/>
    <col min="2818" max="2818" width="8" style="28" customWidth="1"/>
    <col min="2819" max="2819" width="10.75" style="28" customWidth="1"/>
    <col min="2820" max="2820" width="9.375" style="28" bestFit="1" customWidth="1"/>
    <col min="2821" max="2821" width="18.125" style="28" customWidth="1"/>
    <col min="2822" max="2822" width="12.75" style="28" customWidth="1"/>
    <col min="2823" max="3073" width="9" style="28"/>
    <col min="3074" max="3074" width="8" style="28" customWidth="1"/>
    <col min="3075" max="3075" width="10.75" style="28" customWidth="1"/>
    <col min="3076" max="3076" width="9.375" style="28" bestFit="1" customWidth="1"/>
    <col min="3077" max="3077" width="18.125" style="28" customWidth="1"/>
    <col min="3078" max="3078" width="12.75" style="28" customWidth="1"/>
    <col min="3079" max="3329" width="9" style="28"/>
    <col min="3330" max="3330" width="8" style="28" customWidth="1"/>
    <col min="3331" max="3331" width="10.75" style="28" customWidth="1"/>
    <col min="3332" max="3332" width="9.375" style="28" bestFit="1" customWidth="1"/>
    <col min="3333" max="3333" width="18.125" style="28" customWidth="1"/>
    <col min="3334" max="3334" width="12.75" style="28" customWidth="1"/>
    <col min="3335" max="3585" width="9" style="28"/>
    <col min="3586" max="3586" width="8" style="28" customWidth="1"/>
    <col min="3587" max="3587" width="10.75" style="28" customWidth="1"/>
    <col min="3588" max="3588" width="9.375" style="28" bestFit="1" customWidth="1"/>
    <col min="3589" max="3589" width="18.125" style="28" customWidth="1"/>
    <col min="3590" max="3590" width="12.75" style="28" customWidth="1"/>
    <col min="3591" max="3841" width="9" style="28"/>
    <col min="3842" max="3842" width="8" style="28" customWidth="1"/>
    <col min="3843" max="3843" width="10.75" style="28" customWidth="1"/>
    <col min="3844" max="3844" width="9.375" style="28" bestFit="1" customWidth="1"/>
    <col min="3845" max="3845" width="18.125" style="28" customWidth="1"/>
    <col min="3846" max="3846" width="12.75" style="28" customWidth="1"/>
    <col min="3847" max="4097" width="9" style="28"/>
    <col min="4098" max="4098" width="8" style="28" customWidth="1"/>
    <col min="4099" max="4099" width="10.75" style="28" customWidth="1"/>
    <col min="4100" max="4100" width="9.375" style="28" bestFit="1" customWidth="1"/>
    <col min="4101" max="4101" width="18.125" style="28" customWidth="1"/>
    <col min="4102" max="4102" width="12.75" style="28" customWidth="1"/>
    <col min="4103" max="4353" width="9" style="28"/>
    <col min="4354" max="4354" width="8" style="28" customWidth="1"/>
    <col min="4355" max="4355" width="10.75" style="28" customWidth="1"/>
    <col min="4356" max="4356" width="9.375" style="28" bestFit="1" customWidth="1"/>
    <col min="4357" max="4357" width="18.125" style="28" customWidth="1"/>
    <col min="4358" max="4358" width="12.75" style="28" customWidth="1"/>
    <col min="4359" max="4609" width="9" style="28"/>
    <col min="4610" max="4610" width="8" style="28" customWidth="1"/>
    <col min="4611" max="4611" width="10.75" style="28" customWidth="1"/>
    <col min="4612" max="4612" width="9.375" style="28" bestFit="1" customWidth="1"/>
    <col min="4613" max="4613" width="18.125" style="28" customWidth="1"/>
    <col min="4614" max="4614" width="12.75" style="28" customWidth="1"/>
    <col min="4615" max="4865" width="9" style="28"/>
    <col min="4866" max="4866" width="8" style="28" customWidth="1"/>
    <col min="4867" max="4867" width="10.75" style="28" customWidth="1"/>
    <col min="4868" max="4868" width="9.375" style="28" bestFit="1" customWidth="1"/>
    <col min="4869" max="4869" width="18.125" style="28" customWidth="1"/>
    <col min="4870" max="4870" width="12.75" style="28" customWidth="1"/>
    <col min="4871" max="5121" width="9" style="28"/>
    <col min="5122" max="5122" width="8" style="28" customWidth="1"/>
    <col min="5123" max="5123" width="10.75" style="28" customWidth="1"/>
    <col min="5124" max="5124" width="9.375" style="28" bestFit="1" customWidth="1"/>
    <col min="5125" max="5125" width="18.125" style="28" customWidth="1"/>
    <col min="5126" max="5126" width="12.75" style="28" customWidth="1"/>
    <col min="5127" max="5377" width="9" style="28"/>
    <col min="5378" max="5378" width="8" style="28" customWidth="1"/>
    <col min="5379" max="5379" width="10.75" style="28" customWidth="1"/>
    <col min="5380" max="5380" width="9.375" style="28" bestFit="1" customWidth="1"/>
    <col min="5381" max="5381" width="18.125" style="28" customWidth="1"/>
    <col min="5382" max="5382" width="12.75" style="28" customWidth="1"/>
    <col min="5383" max="5633" width="9" style="28"/>
    <col min="5634" max="5634" width="8" style="28" customWidth="1"/>
    <col min="5635" max="5635" width="10.75" style="28" customWidth="1"/>
    <col min="5636" max="5636" width="9.375" style="28" bestFit="1" customWidth="1"/>
    <col min="5637" max="5637" width="18.125" style="28" customWidth="1"/>
    <col min="5638" max="5638" width="12.75" style="28" customWidth="1"/>
    <col min="5639" max="5889" width="9" style="28"/>
    <col min="5890" max="5890" width="8" style="28" customWidth="1"/>
    <col min="5891" max="5891" width="10.75" style="28" customWidth="1"/>
    <col min="5892" max="5892" width="9.375" style="28" bestFit="1" customWidth="1"/>
    <col min="5893" max="5893" width="18.125" style="28" customWidth="1"/>
    <col min="5894" max="5894" width="12.75" style="28" customWidth="1"/>
    <col min="5895" max="6145" width="9" style="28"/>
    <col min="6146" max="6146" width="8" style="28" customWidth="1"/>
    <col min="6147" max="6147" width="10.75" style="28" customWidth="1"/>
    <col min="6148" max="6148" width="9.375" style="28" bestFit="1" customWidth="1"/>
    <col min="6149" max="6149" width="18.125" style="28" customWidth="1"/>
    <col min="6150" max="6150" width="12.75" style="28" customWidth="1"/>
    <col min="6151" max="6401" width="9" style="28"/>
    <col min="6402" max="6402" width="8" style="28" customWidth="1"/>
    <col min="6403" max="6403" width="10.75" style="28" customWidth="1"/>
    <col min="6404" max="6404" width="9.375" style="28" bestFit="1" customWidth="1"/>
    <col min="6405" max="6405" width="18.125" style="28" customWidth="1"/>
    <col min="6406" max="6406" width="12.75" style="28" customWidth="1"/>
    <col min="6407" max="6657" width="9" style="28"/>
    <col min="6658" max="6658" width="8" style="28" customWidth="1"/>
    <col min="6659" max="6659" width="10.75" style="28" customWidth="1"/>
    <col min="6660" max="6660" width="9.375" style="28" bestFit="1" customWidth="1"/>
    <col min="6661" max="6661" width="18.125" style="28" customWidth="1"/>
    <col min="6662" max="6662" width="12.75" style="28" customWidth="1"/>
    <col min="6663" max="6913" width="9" style="28"/>
    <col min="6914" max="6914" width="8" style="28" customWidth="1"/>
    <col min="6915" max="6915" width="10.75" style="28" customWidth="1"/>
    <col min="6916" max="6916" width="9.375" style="28" bestFit="1" customWidth="1"/>
    <col min="6917" max="6917" width="18.125" style="28" customWidth="1"/>
    <col min="6918" max="6918" width="12.75" style="28" customWidth="1"/>
    <col min="6919" max="7169" width="9" style="28"/>
    <col min="7170" max="7170" width="8" style="28" customWidth="1"/>
    <col min="7171" max="7171" width="10.75" style="28" customWidth="1"/>
    <col min="7172" max="7172" width="9.375" style="28" bestFit="1" customWidth="1"/>
    <col min="7173" max="7173" width="18.125" style="28" customWidth="1"/>
    <col min="7174" max="7174" width="12.75" style="28" customWidth="1"/>
    <col min="7175" max="7425" width="9" style="28"/>
    <col min="7426" max="7426" width="8" style="28" customWidth="1"/>
    <col min="7427" max="7427" width="10.75" style="28" customWidth="1"/>
    <col min="7428" max="7428" width="9.375" style="28" bestFit="1" customWidth="1"/>
    <col min="7429" max="7429" width="18.125" style="28" customWidth="1"/>
    <col min="7430" max="7430" width="12.75" style="28" customWidth="1"/>
    <col min="7431" max="7681" width="9" style="28"/>
    <col min="7682" max="7682" width="8" style="28" customWidth="1"/>
    <col min="7683" max="7683" width="10.75" style="28" customWidth="1"/>
    <col min="7684" max="7684" width="9.375" style="28" bestFit="1" customWidth="1"/>
    <col min="7685" max="7685" width="18.125" style="28" customWidth="1"/>
    <col min="7686" max="7686" width="12.75" style="28" customWidth="1"/>
    <col min="7687" max="7937" width="9" style="28"/>
    <col min="7938" max="7938" width="8" style="28" customWidth="1"/>
    <col min="7939" max="7939" width="10.75" style="28" customWidth="1"/>
    <col min="7940" max="7940" width="9.375" style="28" bestFit="1" customWidth="1"/>
    <col min="7941" max="7941" width="18.125" style="28" customWidth="1"/>
    <col min="7942" max="7942" width="12.75" style="28" customWidth="1"/>
    <col min="7943" max="8193" width="9" style="28"/>
    <col min="8194" max="8194" width="8" style="28" customWidth="1"/>
    <col min="8195" max="8195" width="10.75" style="28" customWidth="1"/>
    <col min="8196" max="8196" width="9.375" style="28" bestFit="1" customWidth="1"/>
    <col min="8197" max="8197" width="18.125" style="28" customWidth="1"/>
    <col min="8198" max="8198" width="12.75" style="28" customWidth="1"/>
    <col min="8199" max="8449" width="9" style="28"/>
    <col min="8450" max="8450" width="8" style="28" customWidth="1"/>
    <col min="8451" max="8451" width="10.75" style="28" customWidth="1"/>
    <col min="8452" max="8452" width="9.375" style="28" bestFit="1" customWidth="1"/>
    <col min="8453" max="8453" width="18.125" style="28" customWidth="1"/>
    <col min="8454" max="8454" width="12.75" style="28" customWidth="1"/>
    <col min="8455" max="8705" width="9" style="28"/>
    <col min="8706" max="8706" width="8" style="28" customWidth="1"/>
    <col min="8707" max="8707" width="10.75" style="28" customWidth="1"/>
    <col min="8708" max="8708" width="9.375" style="28" bestFit="1" customWidth="1"/>
    <col min="8709" max="8709" width="18.125" style="28" customWidth="1"/>
    <col min="8710" max="8710" width="12.75" style="28" customWidth="1"/>
    <col min="8711" max="8961" width="9" style="28"/>
    <col min="8962" max="8962" width="8" style="28" customWidth="1"/>
    <col min="8963" max="8963" width="10.75" style="28" customWidth="1"/>
    <col min="8964" max="8964" width="9.375" style="28" bestFit="1" customWidth="1"/>
    <col min="8965" max="8965" width="18.125" style="28" customWidth="1"/>
    <col min="8966" max="8966" width="12.75" style="28" customWidth="1"/>
    <col min="8967" max="9217" width="9" style="28"/>
    <col min="9218" max="9218" width="8" style="28" customWidth="1"/>
    <col min="9219" max="9219" width="10.75" style="28" customWidth="1"/>
    <col min="9220" max="9220" width="9.375" style="28" bestFit="1" customWidth="1"/>
    <col min="9221" max="9221" width="18.125" style="28" customWidth="1"/>
    <col min="9222" max="9222" width="12.75" style="28" customWidth="1"/>
    <col min="9223" max="9473" width="9" style="28"/>
    <col min="9474" max="9474" width="8" style="28" customWidth="1"/>
    <col min="9475" max="9475" width="10.75" style="28" customWidth="1"/>
    <col min="9476" max="9476" width="9.375" style="28" bestFit="1" customWidth="1"/>
    <col min="9477" max="9477" width="18.125" style="28" customWidth="1"/>
    <col min="9478" max="9478" width="12.75" style="28" customWidth="1"/>
    <col min="9479" max="9729" width="9" style="28"/>
    <col min="9730" max="9730" width="8" style="28" customWidth="1"/>
    <col min="9731" max="9731" width="10.75" style="28" customWidth="1"/>
    <col min="9732" max="9732" width="9.375" style="28" bestFit="1" customWidth="1"/>
    <col min="9733" max="9733" width="18.125" style="28" customWidth="1"/>
    <col min="9734" max="9734" width="12.75" style="28" customWidth="1"/>
    <col min="9735" max="9985" width="9" style="28"/>
    <col min="9986" max="9986" width="8" style="28" customWidth="1"/>
    <col min="9987" max="9987" width="10.75" style="28" customWidth="1"/>
    <col min="9988" max="9988" width="9.375" style="28" bestFit="1" customWidth="1"/>
    <col min="9989" max="9989" width="18.125" style="28" customWidth="1"/>
    <col min="9990" max="9990" width="12.75" style="28" customWidth="1"/>
    <col min="9991" max="10241" width="9" style="28"/>
    <col min="10242" max="10242" width="8" style="28" customWidth="1"/>
    <col min="10243" max="10243" width="10.75" style="28" customWidth="1"/>
    <col min="10244" max="10244" width="9.375" style="28" bestFit="1" customWidth="1"/>
    <col min="10245" max="10245" width="18.125" style="28" customWidth="1"/>
    <col min="10246" max="10246" width="12.75" style="28" customWidth="1"/>
    <col min="10247" max="10497" width="9" style="28"/>
    <col min="10498" max="10498" width="8" style="28" customWidth="1"/>
    <col min="10499" max="10499" width="10.75" style="28" customWidth="1"/>
    <col min="10500" max="10500" width="9.375" style="28" bestFit="1" customWidth="1"/>
    <col min="10501" max="10501" width="18.125" style="28" customWidth="1"/>
    <col min="10502" max="10502" width="12.75" style="28" customWidth="1"/>
    <col min="10503" max="10753" width="9" style="28"/>
    <col min="10754" max="10754" width="8" style="28" customWidth="1"/>
    <col min="10755" max="10755" width="10.75" style="28" customWidth="1"/>
    <col min="10756" max="10756" width="9.375" style="28" bestFit="1" customWidth="1"/>
    <col min="10757" max="10757" width="18.125" style="28" customWidth="1"/>
    <col min="10758" max="10758" width="12.75" style="28" customWidth="1"/>
    <col min="10759" max="11009" width="9" style="28"/>
    <col min="11010" max="11010" width="8" style="28" customWidth="1"/>
    <col min="11011" max="11011" width="10.75" style="28" customWidth="1"/>
    <col min="11012" max="11012" width="9.375" style="28" bestFit="1" customWidth="1"/>
    <col min="11013" max="11013" width="18.125" style="28" customWidth="1"/>
    <col min="11014" max="11014" width="12.75" style="28" customWidth="1"/>
    <col min="11015" max="11265" width="9" style="28"/>
    <col min="11266" max="11266" width="8" style="28" customWidth="1"/>
    <col min="11267" max="11267" width="10.75" style="28" customWidth="1"/>
    <col min="11268" max="11268" width="9.375" style="28" bestFit="1" customWidth="1"/>
    <col min="11269" max="11269" width="18.125" style="28" customWidth="1"/>
    <col min="11270" max="11270" width="12.75" style="28" customWidth="1"/>
    <col min="11271" max="11521" width="9" style="28"/>
    <col min="11522" max="11522" width="8" style="28" customWidth="1"/>
    <col min="11523" max="11523" width="10.75" style="28" customWidth="1"/>
    <col min="11524" max="11524" width="9.375" style="28" bestFit="1" customWidth="1"/>
    <col min="11525" max="11525" width="18.125" style="28" customWidth="1"/>
    <col min="11526" max="11526" width="12.75" style="28" customWidth="1"/>
    <col min="11527" max="11777" width="9" style="28"/>
    <col min="11778" max="11778" width="8" style="28" customWidth="1"/>
    <col min="11779" max="11779" width="10.75" style="28" customWidth="1"/>
    <col min="11780" max="11780" width="9.375" style="28" bestFit="1" customWidth="1"/>
    <col min="11781" max="11781" width="18.125" style="28" customWidth="1"/>
    <col min="11782" max="11782" width="12.75" style="28" customWidth="1"/>
    <col min="11783" max="12033" width="9" style="28"/>
    <col min="12034" max="12034" width="8" style="28" customWidth="1"/>
    <col min="12035" max="12035" width="10.75" style="28" customWidth="1"/>
    <col min="12036" max="12036" width="9.375" style="28" bestFit="1" customWidth="1"/>
    <col min="12037" max="12037" width="18.125" style="28" customWidth="1"/>
    <col min="12038" max="12038" width="12.75" style="28" customWidth="1"/>
    <col min="12039" max="12289" width="9" style="28"/>
    <col min="12290" max="12290" width="8" style="28" customWidth="1"/>
    <col min="12291" max="12291" width="10.75" style="28" customWidth="1"/>
    <col min="12292" max="12292" width="9.375" style="28" bestFit="1" customWidth="1"/>
    <col min="12293" max="12293" width="18.125" style="28" customWidth="1"/>
    <col min="12294" max="12294" width="12.75" style="28" customWidth="1"/>
    <col min="12295" max="12545" width="9" style="28"/>
    <col min="12546" max="12546" width="8" style="28" customWidth="1"/>
    <col min="12547" max="12547" width="10.75" style="28" customWidth="1"/>
    <col min="12548" max="12548" width="9.375" style="28" bestFit="1" customWidth="1"/>
    <col min="12549" max="12549" width="18.125" style="28" customWidth="1"/>
    <col min="12550" max="12550" width="12.75" style="28" customWidth="1"/>
    <col min="12551" max="12801" width="9" style="28"/>
    <col min="12802" max="12802" width="8" style="28" customWidth="1"/>
    <col min="12803" max="12803" width="10.75" style="28" customWidth="1"/>
    <col min="12804" max="12804" width="9.375" style="28" bestFit="1" customWidth="1"/>
    <col min="12805" max="12805" width="18.125" style="28" customWidth="1"/>
    <col min="12806" max="12806" width="12.75" style="28" customWidth="1"/>
    <col min="12807" max="13057" width="9" style="28"/>
    <col min="13058" max="13058" width="8" style="28" customWidth="1"/>
    <col min="13059" max="13059" width="10.75" style="28" customWidth="1"/>
    <col min="13060" max="13060" width="9.375" style="28" bestFit="1" customWidth="1"/>
    <col min="13061" max="13061" width="18.125" style="28" customWidth="1"/>
    <col min="13062" max="13062" width="12.75" style="28" customWidth="1"/>
    <col min="13063" max="13313" width="9" style="28"/>
    <col min="13314" max="13314" width="8" style="28" customWidth="1"/>
    <col min="13315" max="13315" width="10.75" style="28" customWidth="1"/>
    <col min="13316" max="13316" width="9.375" style="28" bestFit="1" customWidth="1"/>
    <col min="13317" max="13317" width="18.125" style="28" customWidth="1"/>
    <col min="13318" max="13318" width="12.75" style="28" customWidth="1"/>
    <col min="13319" max="13569" width="9" style="28"/>
    <col min="13570" max="13570" width="8" style="28" customWidth="1"/>
    <col min="13571" max="13571" width="10.75" style="28" customWidth="1"/>
    <col min="13572" max="13572" width="9.375" style="28" bestFit="1" customWidth="1"/>
    <col min="13573" max="13573" width="18.125" style="28" customWidth="1"/>
    <col min="13574" max="13574" width="12.75" style="28" customWidth="1"/>
    <col min="13575" max="13825" width="9" style="28"/>
    <col min="13826" max="13826" width="8" style="28" customWidth="1"/>
    <col min="13827" max="13827" width="10.75" style="28" customWidth="1"/>
    <col min="13828" max="13828" width="9.375" style="28" bestFit="1" customWidth="1"/>
    <col min="13829" max="13829" width="18.125" style="28" customWidth="1"/>
    <col min="13830" max="13830" width="12.75" style="28" customWidth="1"/>
    <col min="13831" max="14081" width="9" style="28"/>
    <col min="14082" max="14082" width="8" style="28" customWidth="1"/>
    <col min="14083" max="14083" width="10.75" style="28" customWidth="1"/>
    <col min="14084" max="14084" width="9.375" style="28" bestFit="1" customWidth="1"/>
    <col min="14085" max="14085" width="18.125" style="28" customWidth="1"/>
    <col min="14086" max="14086" width="12.75" style="28" customWidth="1"/>
    <col min="14087" max="14337" width="9" style="28"/>
    <col min="14338" max="14338" width="8" style="28" customWidth="1"/>
    <col min="14339" max="14339" width="10.75" style="28" customWidth="1"/>
    <col min="14340" max="14340" width="9.375" style="28" bestFit="1" customWidth="1"/>
    <col min="14341" max="14341" width="18.125" style="28" customWidth="1"/>
    <col min="14342" max="14342" width="12.75" style="28" customWidth="1"/>
    <col min="14343" max="14593" width="9" style="28"/>
    <col min="14594" max="14594" width="8" style="28" customWidth="1"/>
    <col min="14595" max="14595" width="10.75" style="28" customWidth="1"/>
    <col min="14596" max="14596" width="9.375" style="28" bestFit="1" customWidth="1"/>
    <col min="14597" max="14597" width="18.125" style="28" customWidth="1"/>
    <col min="14598" max="14598" width="12.75" style="28" customWidth="1"/>
    <col min="14599" max="14849" width="9" style="28"/>
    <col min="14850" max="14850" width="8" style="28" customWidth="1"/>
    <col min="14851" max="14851" width="10.75" style="28" customWidth="1"/>
    <col min="14852" max="14852" width="9.375" style="28" bestFit="1" customWidth="1"/>
    <col min="14853" max="14853" width="18.125" style="28" customWidth="1"/>
    <col min="14854" max="14854" width="12.75" style="28" customWidth="1"/>
    <col min="14855" max="15105" width="9" style="28"/>
    <col min="15106" max="15106" width="8" style="28" customWidth="1"/>
    <col min="15107" max="15107" width="10.75" style="28" customWidth="1"/>
    <col min="15108" max="15108" width="9.375" style="28" bestFit="1" customWidth="1"/>
    <col min="15109" max="15109" width="18.125" style="28" customWidth="1"/>
    <col min="15110" max="15110" width="12.75" style="28" customWidth="1"/>
    <col min="15111" max="15361" width="9" style="28"/>
    <col min="15362" max="15362" width="8" style="28" customWidth="1"/>
    <col min="15363" max="15363" width="10.75" style="28" customWidth="1"/>
    <col min="15364" max="15364" width="9.375" style="28" bestFit="1" customWidth="1"/>
    <col min="15365" max="15365" width="18.125" style="28" customWidth="1"/>
    <col min="15366" max="15366" width="12.75" style="28" customWidth="1"/>
    <col min="15367" max="15617" width="9" style="28"/>
    <col min="15618" max="15618" width="8" style="28" customWidth="1"/>
    <col min="15619" max="15619" width="10.75" style="28" customWidth="1"/>
    <col min="15620" max="15620" width="9.375" style="28" bestFit="1" customWidth="1"/>
    <col min="15621" max="15621" width="18.125" style="28" customWidth="1"/>
    <col min="15622" max="15622" width="12.75" style="28" customWidth="1"/>
    <col min="15623" max="15873" width="9" style="28"/>
    <col min="15874" max="15874" width="8" style="28" customWidth="1"/>
    <col min="15875" max="15875" width="10.75" style="28" customWidth="1"/>
    <col min="15876" max="15876" width="9.375" style="28" bestFit="1" customWidth="1"/>
    <col min="15877" max="15877" width="18.125" style="28" customWidth="1"/>
    <col min="15878" max="15878" width="12.75" style="28" customWidth="1"/>
    <col min="15879" max="16129" width="9" style="28"/>
    <col min="16130" max="16130" width="8" style="28" customWidth="1"/>
    <col min="16131" max="16131" width="10.75" style="28" customWidth="1"/>
    <col min="16132" max="16132" width="9.375" style="28" bestFit="1" customWidth="1"/>
    <col min="16133" max="16133" width="18.125" style="28" customWidth="1"/>
    <col min="16134" max="16134" width="12.75" style="28" customWidth="1"/>
    <col min="16135" max="16384" width="9" style="28"/>
  </cols>
  <sheetData>
    <row r="1" spans="1:6" s="21" customFormat="1" ht="13.5">
      <c r="A1" s="18" t="s">
        <v>282</v>
      </c>
      <c r="B1" s="18" t="s">
        <v>4</v>
      </c>
      <c r="C1" s="18" t="s">
        <v>283</v>
      </c>
      <c r="D1" s="19" t="s">
        <v>284</v>
      </c>
      <c r="E1" s="20" t="s">
        <v>285</v>
      </c>
      <c r="F1" s="20" t="s">
        <v>286</v>
      </c>
    </row>
    <row r="2" spans="1:6" ht="13.5">
      <c r="A2" s="22" t="s">
        <v>259</v>
      </c>
      <c r="B2" s="23" t="str">
        <f>VLOOKUP(A2,[3]bmgzxx!$D$5:$AL$300,2,0)</f>
        <v>茆 智</v>
      </c>
      <c r="C2" s="24">
        <f>VLOOKUP(A2,[4]扣税计算!$A$3:$P$241,11,0)</f>
        <v>20000</v>
      </c>
      <c r="D2" s="25">
        <f>VLOOKUP(A2,[4]扣税计算!$A$3:$P$241,14,0)</f>
        <v>0</v>
      </c>
      <c r="E2" s="26" t="str">
        <f>VLOOKUP(A2,[4]扣税计算!$A$3:$R$268,15,0)</f>
        <v>3202160601010412525</v>
      </c>
      <c r="F2" s="27" t="str">
        <f>VLOOKUP(A2,[4]扣税计算!$A$3:$S$241,19,0)&amp;IF(VLOOKUP(A2,[4]扣税计算!$A$3:$S$241,18,0)=0,"","补"&amp;VLOOKUP(A2,[4]扣税计算!$A$3:$S$241,18,0))</f>
        <v>60以上专家</v>
      </c>
    </row>
    <row r="3" spans="1:6" ht="13.5">
      <c r="A3" s="22" t="s">
        <v>174</v>
      </c>
      <c r="B3" s="23" t="str">
        <f>VLOOKUP(A3,[3]bmgzxx!$D$5:$AL$300,2,0)</f>
        <v>杨金忠</v>
      </c>
      <c r="C3" s="24">
        <f>VLOOKUP(A3,[4]扣税计算!$A$3:$P$241,11,0)</f>
        <v>4950</v>
      </c>
      <c r="D3" s="25">
        <f>VLOOKUP(A3,[4]扣税计算!$A$3:$P$241,14,0)</f>
        <v>0</v>
      </c>
      <c r="E3" s="26" t="str">
        <f>VLOOKUP(A3,[4]扣税计算!$A$3:$R$268,15,0)</f>
        <v>3202160601010415080</v>
      </c>
      <c r="F3" s="27" t="str">
        <f>VLOOKUP(A3,[4]扣税计算!$A$3:$S$241,19,0)&amp;IF(VLOOKUP(A3,[4]扣税计算!$A$3:$S$241,18,0)=0,"","补"&amp;VLOOKUP(A3,[4]扣税计算!$A$3:$S$241,18,0))</f>
        <v>60岁以上专家</v>
      </c>
    </row>
    <row r="4" spans="1:6" ht="13.5">
      <c r="A4" s="22" t="s">
        <v>175</v>
      </c>
      <c r="B4" s="23" t="str">
        <f>VLOOKUP(A4,[3]bmgzxx!$D$5:$AL$300,2,0)</f>
        <v>蔡树英</v>
      </c>
      <c r="C4" s="24">
        <f>VLOOKUP(A4,[4]扣税计算!$A$3:$P$241,11,0)</f>
        <v>4150</v>
      </c>
      <c r="D4" s="25">
        <f>VLOOKUP(A4,[4]扣税计算!$A$3:$P$241,14,0)</f>
        <v>482.8</v>
      </c>
      <c r="E4" s="26" t="str">
        <f>VLOOKUP(A4,[4]扣税计算!$A$3:$R$268,15,0)</f>
        <v>3202160601060525501</v>
      </c>
      <c r="F4" s="27" t="str">
        <f>VLOOKUP(A4,[4]扣税计算!$A$3:$S$241,19,0)&amp;IF(VLOOKUP(A4,[4]扣税计算!$A$3:$S$241,18,0)=0,"","补"&amp;VLOOKUP(A4,[4]扣税计算!$A$3:$S$241,18,0))</f>
        <v/>
      </c>
    </row>
    <row r="5" spans="1:6" ht="13.5">
      <c r="A5" s="22" t="s">
        <v>180</v>
      </c>
      <c r="B5" s="23" t="str">
        <f>VLOOKUP(A5,[3]bmgzxx!$D$5:$AL$300,2,0)</f>
        <v>罗金耀</v>
      </c>
      <c r="C5" s="24">
        <f>VLOOKUP(A5,[4]扣税计算!$A$3:$P$241,11,0)</f>
        <v>4150</v>
      </c>
      <c r="D5" s="25">
        <f>VLOOKUP(A5,[4]扣税计算!$A$3:$P$241,14,0)</f>
        <v>473.7</v>
      </c>
      <c r="E5" s="26" t="str">
        <f>VLOOKUP(A5,[4]扣税计算!$A$3:$R$268,15,0)</f>
        <v>3202160601010414329</v>
      </c>
      <c r="F5" s="27" t="str">
        <f>VLOOKUP(A5,[4]扣税计算!$A$3:$S$241,19,0)&amp;IF(VLOOKUP(A5,[4]扣税计算!$A$3:$S$241,18,0)=0,"","补"&amp;VLOOKUP(A5,[4]扣税计算!$A$3:$S$241,18,0))</f>
        <v/>
      </c>
    </row>
    <row r="6" spans="1:6" ht="13.5">
      <c r="A6" s="22" t="s">
        <v>173</v>
      </c>
      <c r="B6" s="23" t="str">
        <f>VLOOKUP(A6,[3]bmgzxx!$D$5:$AL$300,2,0)</f>
        <v>黄介生</v>
      </c>
      <c r="C6" s="24">
        <f>VLOOKUP(A6,[4]扣税计算!$A$3:$P$241,11,0)</f>
        <v>5650</v>
      </c>
      <c r="D6" s="25">
        <f>VLOOKUP(A6,[4]扣税计算!$A$3:$P$241,14,0)</f>
        <v>756.76</v>
      </c>
      <c r="E6" s="26" t="str">
        <f>VLOOKUP(A6,[4]扣税计算!$A$3:$R$268,15,0)</f>
        <v>3202160601010412126</v>
      </c>
      <c r="F6" s="27" t="str">
        <f>VLOOKUP(A6,[4]扣税计算!$A$3:$S$241,19,0)&amp;IF(VLOOKUP(A6,[4]扣税计算!$A$3:$S$241,18,0)=0,"","补"&amp;VLOOKUP(A6,[4]扣税计算!$A$3:$S$241,18,0))</f>
        <v/>
      </c>
    </row>
    <row r="7" spans="1:6" ht="13.5">
      <c r="A7" s="22" t="s">
        <v>172</v>
      </c>
      <c r="B7" s="23" t="str">
        <f>VLOOKUP(A7,[3]bmgzxx!$D$5:$AL$300,2,0)</f>
        <v>胡铁松</v>
      </c>
      <c r="C7" s="24">
        <f>VLOOKUP(A7,[4]扣税计算!$A$3:$P$241,11,0)</f>
        <v>4150</v>
      </c>
      <c r="D7" s="25">
        <f>VLOOKUP(A7,[4]扣税计算!$A$3:$P$241,14,0)</f>
        <v>451.05</v>
      </c>
      <c r="E7" s="26" t="str">
        <f>VLOOKUP(A7,[4]扣税计算!$A$3:$R$268,15,0)</f>
        <v>3202160601010412002</v>
      </c>
      <c r="F7" s="27" t="str">
        <f>VLOOKUP(A7,[4]扣税计算!$A$3:$S$241,19,0)&amp;IF(VLOOKUP(A7,[4]扣税计算!$A$3:$S$241,18,0)=0,"","补"&amp;VLOOKUP(A7,[4]扣税计算!$A$3:$S$241,18,0))</f>
        <v/>
      </c>
    </row>
    <row r="8" spans="1:6" ht="13.5">
      <c r="A8" s="22" t="s">
        <v>176</v>
      </c>
      <c r="B8" s="23" t="str">
        <f>VLOOKUP(A8,[3]bmgzxx!$D$5:$AL$300,2,0)</f>
        <v>邵东国</v>
      </c>
      <c r="C8" s="24">
        <f>VLOOKUP(A8,[4]扣税计算!$A$3:$P$241,11,0)</f>
        <v>6550</v>
      </c>
      <c r="D8" s="25">
        <f>VLOOKUP(A8,[4]扣税计算!$A$3:$P$241,14,0)</f>
        <v>915.28000000000009</v>
      </c>
      <c r="E8" s="26" t="str">
        <f>VLOOKUP(A8,[4]扣税计算!$A$3:$R$268,15,0)</f>
        <v>3202160601010413551</v>
      </c>
      <c r="F8" s="27" t="str">
        <f>VLOOKUP(A8,[4]扣税计算!$A$3:$S$241,19,0)&amp;IF(VLOOKUP(A8,[4]扣税计算!$A$3:$S$241,18,0)=0,"","补"&amp;VLOOKUP(A8,[4]扣税计算!$A$3:$S$241,18,0))</f>
        <v>补1200</v>
      </c>
    </row>
    <row r="9" spans="1:6" ht="13.5">
      <c r="A9" s="22" t="s">
        <v>178</v>
      </c>
      <c r="B9" s="23" t="str">
        <f>VLOOKUP(A9,[3]bmgzxx!$D$5:$AL$300,2,0)</f>
        <v>崔远来</v>
      </c>
      <c r="C9" s="24">
        <f>VLOOKUP(A9,[4]扣税计算!$A$3:$P$241,11,0)</f>
        <v>4150</v>
      </c>
      <c r="D9" s="25">
        <f>VLOOKUP(A9,[4]扣税计算!$A$3:$P$241,14,0)</f>
        <v>430.25</v>
      </c>
      <c r="E9" s="26" t="str">
        <f>VLOOKUP(A9,[4]扣税计算!$A$3:$R$268,15,0)</f>
        <v>3202160601010413303</v>
      </c>
      <c r="F9" s="27" t="str">
        <f>VLOOKUP(A9,[4]扣税计算!$A$3:$S$241,19,0)&amp;IF(VLOOKUP(A9,[4]扣税计算!$A$3:$S$241,18,0)=0,"","补"&amp;VLOOKUP(A9,[4]扣税计算!$A$3:$S$241,18,0))</f>
        <v/>
      </c>
    </row>
    <row r="10" spans="1:6" ht="13.5">
      <c r="A10" s="22" t="s">
        <v>179</v>
      </c>
      <c r="B10" s="23" t="str">
        <f>VLOOKUP(A10,[3]bmgzxx!$D$5:$AL$300,2,0)</f>
        <v>王修贵</v>
      </c>
      <c r="C10" s="24">
        <f>VLOOKUP(A10,[4]扣税计算!$A$3:$P$241,11,0)</f>
        <v>3350</v>
      </c>
      <c r="D10" s="25">
        <f>VLOOKUP(A10,[4]扣税计算!$A$3:$P$241,14,0)</f>
        <v>274.94</v>
      </c>
      <c r="E10" s="26" t="str">
        <f>VLOOKUP(A10,[4]扣税计算!$A$3:$R$268,15,0)</f>
        <v>3202160601010415107</v>
      </c>
      <c r="F10" s="27" t="str">
        <f>VLOOKUP(A10,[4]扣税计算!$A$3:$S$241,19,0)&amp;IF(VLOOKUP(A10,[4]扣税计算!$A$3:$S$241,18,0)=0,"","补"&amp;VLOOKUP(A10,[4]扣税计算!$A$3:$S$241,18,0))</f>
        <v/>
      </c>
    </row>
    <row r="11" spans="1:6" ht="13.5">
      <c r="A11" s="22" t="s">
        <v>181</v>
      </c>
      <c r="B11" s="23" t="str">
        <f>VLOOKUP(A11,[3]bmgzxx!$D$5:$AL$300,2,0)</f>
        <v>洪 林</v>
      </c>
      <c r="C11" s="24">
        <f>VLOOKUP(A11,[4]扣税计算!$A$3:$P$241,11,0)</f>
        <v>3350</v>
      </c>
      <c r="D11" s="25">
        <f>VLOOKUP(A11,[4]扣税计算!$A$3:$P$241,14,0)</f>
        <v>276.33999999999997</v>
      </c>
      <c r="E11" s="26" t="str">
        <f>VLOOKUP(A11,[4]扣税计算!$A$3:$R$268,15,0)</f>
        <v>3202160601010414728</v>
      </c>
      <c r="F11" s="27" t="str">
        <f>VLOOKUP(A11,[4]扣税计算!$A$3:$S$241,19,0)&amp;IF(VLOOKUP(A11,[4]扣税计算!$A$3:$S$241,18,0)=0,"","补"&amp;VLOOKUP(A11,[4]扣税计算!$A$3:$S$241,18,0))</f>
        <v/>
      </c>
    </row>
    <row r="12" spans="1:6" ht="13.5">
      <c r="A12" s="22" t="s">
        <v>171</v>
      </c>
      <c r="B12" s="23" t="str">
        <f>VLOOKUP(A12,[3]bmgzxx!$D$5:$AL$300,2,0)</f>
        <v>董 斌</v>
      </c>
      <c r="C12" s="24">
        <f>VLOOKUP(A12,[4]扣税计算!$A$3:$P$241,11,0)</f>
        <v>3350</v>
      </c>
      <c r="D12" s="25">
        <f>VLOOKUP(A12,[4]扣税计算!$A$3:$P$241,14,0)</f>
        <v>260.44</v>
      </c>
      <c r="E12" s="26" t="str">
        <f>VLOOKUP(A12,[4]扣税计算!$A$3:$R$268,15,0)</f>
        <v>3202160601010411472</v>
      </c>
      <c r="F12" s="27" t="str">
        <f>VLOOKUP(A12,[4]扣税计算!$A$3:$S$241,19,0)&amp;IF(VLOOKUP(A12,[4]扣税计算!$A$3:$S$241,18,0)=0,"","补"&amp;VLOOKUP(A12,[4]扣税计算!$A$3:$S$241,18,0))</f>
        <v/>
      </c>
    </row>
    <row r="13" spans="1:6" ht="13.5">
      <c r="A13" s="22" t="s">
        <v>88</v>
      </c>
      <c r="B13" s="23" t="str">
        <f>VLOOKUP(A13,[3]bmgzxx!$D$5:$AL$300,2,0)</f>
        <v>王 博</v>
      </c>
      <c r="C13" s="24">
        <f>VLOOKUP(A13,[4]扣税计算!$A$3:$P$241,11,0)</f>
        <v>2100</v>
      </c>
      <c r="D13" s="25">
        <f>VLOOKUP(A13,[4]扣税计算!$A$3:$P$241,14,0)</f>
        <v>96.36</v>
      </c>
      <c r="E13" s="26" t="str">
        <f>VLOOKUP(A13,[4]扣税计算!$A$3:$R$268,15,0)</f>
        <v>3202160601010415231</v>
      </c>
      <c r="F13" s="27" t="str">
        <f>VLOOKUP(A13,[4]扣税计算!$A$3:$S$241,19,0)&amp;IF(VLOOKUP(A13,[4]扣税计算!$A$3:$S$241,18,0)=0,"","补"&amp;VLOOKUP(A13,[4]扣税计算!$A$3:$S$241,18,0))</f>
        <v/>
      </c>
    </row>
    <row r="14" spans="1:6" ht="13.5">
      <c r="A14" s="22" t="s">
        <v>177</v>
      </c>
      <c r="B14" s="23" t="str">
        <f>VLOOKUP(A14,[3]bmgzxx!$D$5:$AL$300,2,0)</f>
        <v>陈维宁</v>
      </c>
      <c r="C14" s="24">
        <f>VLOOKUP(A14,[4]扣税计算!$A$3:$P$241,11,0)</f>
        <v>640</v>
      </c>
      <c r="D14" s="25">
        <f>VLOOKUP(A14,[4]扣税计算!$A$3:$P$241,14,0)</f>
        <v>0</v>
      </c>
      <c r="E14" s="26" t="str">
        <f>VLOOKUP(A14,[4]扣税计算!$A$3:$R$268,15,0)</f>
        <v>3202160601010414976</v>
      </c>
      <c r="F14" s="27" t="str">
        <f>VLOOKUP(A14,[4]扣税计算!$A$3:$S$241,19,0)&amp;IF(VLOOKUP(A14,[4]扣税计算!$A$3:$S$241,18,0)=0,"","补"&amp;VLOOKUP(A14,[4]扣税计算!$A$3:$S$241,18,0))</f>
        <v/>
      </c>
    </row>
    <row r="15" spans="1:6" ht="13.5">
      <c r="A15" s="22" t="s">
        <v>170</v>
      </c>
      <c r="B15" s="23" t="str">
        <f>VLOOKUP(A15,[3]bmgzxx!$D$5:$AL$300,2,0)</f>
        <v>罗 强</v>
      </c>
      <c r="C15" s="24">
        <f>VLOOKUP(A15,[4]扣税计算!$A$3:$P$241,11,0)</f>
        <v>2100</v>
      </c>
      <c r="D15" s="25">
        <f>VLOOKUP(A15,[4]扣税计算!$A$3:$P$241,14,0)</f>
        <v>82.55</v>
      </c>
      <c r="E15" s="26" t="str">
        <f>VLOOKUP(A15,[4]扣税计算!$A$3:$R$268,15,0)</f>
        <v>3202160601010636044</v>
      </c>
      <c r="F15" s="27" t="str">
        <f>VLOOKUP(A15,[4]扣税计算!$A$3:$S$241,19,0)&amp;IF(VLOOKUP(A15,[4]扣税计算!$A$3:$S$241,18,0)=0,"","补"&amp;VLOOKUP(A15,[4]扣税计算!$A$3:$S$241,18,0))</f>
        <v/>
      </c>
    </row>
    <row r="16" spans="1:6" ht="13.5">
      <c r="A16" s="22" t="s">
        <v>182</v>
      </c>
      <c r="B16" s="23" t="str">
        <f>VLOOKUP(A16,[3]bmgzxx!$D$5:$AL$300,2,0)</f>
        <v>陈秀红</v>
      </c>
      <c r="C16" s="24">
        <f>VLOOKUP(A16,[4]扣税计算!$A$3:$P$241,11,0)</f>
        <v>1300</v>
      </c>
      <c r="D16" s="25">
        <f>VLOOKUP(A16,[4]扣税计算!$A$3:$P$241,14,0)</f>
        <v>15.68</v>
      </c>
      <c r="E16" s="26" t="str">
        <f>VLOOKUP(A16,[4]扣税计算!$A$3:$R$268,15,0)</f>
        <v>3202160601010649605</v>
      </c>
      <c r="F16" s="27" t="str">
        <f>VLOOKUP(A16,[4]扣税计算!$A$3:$S$241,19,0)&amp;IF(VLOOKUP(A16,[4]扣税计算!$A$3:$S$241,18,0)=0,"","补"&amp;VLOOKUP(A16,[4]扣税计算!$A$3:$S$241,18,0))</f>
        <v/>
      </c>
    </row>
    <row r="17" spans="1:6" ht="13.5">
      <c r="A17" s="22" t="s">
        <v>169</v>
      </c>
      <c r="B17" s="23" t="str">
        <f>VLOOKUP(A17,[3]bmgzxx!$D$5:$AL$300,2,0)</f>
        <v>黄 爽</v>
      </c>
      <c r="C17" s="24">
        <f>VLOOKUP(A17,[4]扣税计算!$A$3:$P$241,11,0)</f>
        <v>1950</v>
      </c>
      <c r="D17" s="25">
        <f>VLOOKUP(A17,[4]扣税计算!$A$3:$P$241,14,0)</f>
        <v>0</v>
      </c>
      <c r="E17" s="26" t="str">
        <f>VLOOKUP(A17,[4]扣税计算!$A$3:$R$268,15,0)</f>
        <v>3202160601010653150</v>
      </c>
      <c r="F17" s="27" t="str">
        <f>VLOOKUP(A17,[4]扣税计算!$A$3:$S$241,19,0)&amp;IF(VLOOKUP(A17,[4]扣税计算!$A$3:$S$241,18,0)=0,"","补"&amp;VLOOKUP(A17,[4]扣税计算!$A$3:$S$241,18,0))</f>
        <v/>
      </c>
    </row>
    <row r="18" spans="1:6" ht="13.5">
      <c r="A18" s="22" t="s">
        <v>184</v>
      </c>
      <c r="B18" s="23" t="str">
        <f>VLOOKUP(A18,[3]bmgzxx!$D$5:$AL$300,2,0)</f>
        <v>伍靖伟</v>
      </c>
      <c r="C18" s="24">
        <f>VLOOKUP(A18,[4]扣税计算!$A$3:$P$241,11,0)</f>
        <v>1950</v>
      </c>
      <c r="D18" s="25">
        <f>VLOOKUP(A18,[4]扣税计算!$A$3:$P$241,14,0)</f>
        <v>45.8</v>
      </c>
      <c r="E18" s="26" t="str">
        <f>VLOOKUP(A18,[4]扣税计算!$A$3:$R$268,15,0)</f>
        <v>3202160601010820550</v>
      </c>
      <c r="F18" s="27" t="str">
        <f>VLOOKUP(A18,[4]扣税计算!$A$3:$S$241,19,0)&amp;IF(VLOOKUP(A18,[4]扣税计算!$A$3:$S$241,18,0)=0,"","补"&amp;VLOOKUP(A18,[4]扣税计算!$A$3:$S$241,18,0))</f>
        <v/>
      </c>
    </row>
    <row r="19" spans="1:6" ht="13.5">
      <c r="A19" s="22" t="s">
        <v>183</v>
      </c>
      <c r="B19" s="23" t="str">
        <f>VLOOKUP(A19,[3]bmgzxx!$D$5:$AL$300,2,0)</f>
        <v>邱元锋</v>
      </c>
      <c r="C19" s="24">
        <f>VLOOKUP(A19,[4]扣税计算!$A$3:$P$241,11,0)</f>
        <v>1430</v>
      </c>
      <c r="D19" s="25">
        <f>VLOOKUP(A19,[4]扣税计算!$A$3:$P$241,14,0)</f>
        <v>18.36</v>
      </c>
      <c r="E19" s="26" t="str">
        <f>VLOOKUP(A19,[4]扣税计算!$A$3:$R$268,15,0)</f>
        <v>3202160601010866783</v>
      </c>
      <c r="F19" s="27" t="str">
        <f>VLOOKUP(A19,[4]扣税计算!$A$3:$S$241,19,0)&amp;IF(VLOOKUP(A19,[4]扣税计算!$A$3:$S$241,18,0)=0,"","补"&amp;VLOOKUP(A19,[4]扣税计算!$A$3:$S$241,18,0))</f>
        <v/>
      </c>
    </row>
    <row r="20" spans="1:6" ht="13.5">
      <c r="A20" s="22" t="s">
        <v>41</v>
      </c>
      <c r="B20" s="23" t="str">
        <f>VLOOKUP(A20,[3]bmgzxx!$D$5:$AL$300,2,0)</f>
        <v>王 康</v>
      </c>
      <c r="C20" s="24">
        <f>VLOOKUP(A20,[4]扣税计算!$A$3:$P$241,11,0)</f>
        <v>3350</v>
      </c>
      <c r="D20" s="25">
        <f>VLOOKUP(A20,[4]扣税计算!$A$3:$P$241,14,0)</f>
        <v>254.22000000000003</v>
      </c>
      <c r="E20" s="26" t="str">
        <f>VLOOKUP(A20,[4]扣税计算!$A$3:$R$268,15,0)</f>
        <v>3202160601060159028</v>
      </c>
      <c r="F20" s="27" t="str">
        <f>VLOOKUP(A20,[4]扣税计算!$A$3:$S$241,19,0)&amp;IF(VLOOKUP(A20,[4]扣税计算!$A$3:$S$241,18,0)=0,"","补"&amp;VLOOKUP(A20,[4]扣税计算!$A$3:$S$241,18,0))</f>
        <v/>
      </c>
    </row>
    <row r="21" spans="1:6" ht="13.5">
      <c r="A21" s="22" t="s">
        <v>54</v>
      </c>
      <c r="B21" s="23" t="str">
        <f>VLOOKUP(A21,[3]bmgzxx!$D$5:$AL$300,2,0)</f>
        <v>李小平</v>
      </c>
      <c r="C21" s="24">
        <f>VLOOKUP(A21,[4]扣税计算!$A$3:$P$241,11,0)</f>
        <v>1430</v>
      </c>
      <c r="D21" s="25">
        <f>VLOOKUP(A21,[4]扣税计算!$A$3:$P$241,14,0)</f>
        <v>17.149999999999999</v>
      </c>
      <c r="E21" s="26" t="str">
        <f>VLOOKUP(A21,[4]扣税计算!$A$3:$R$268,15,0)</f>
        <v>3202160601062235073</v>
      </c>
      <c r="F21" s="27" t="str">
        <f>VLOOKUP(A21,[4]扣税计算!$A$3:$S$241,19,0)&amp;IF(VLOOKUP(A21,[4]扣税计算!$A$3:$S$241,18,0)=0,"","补"&amp;VLOOKUP(A21,[4]扣税计算!$A$3:$S$241,18,0))</f>
        <v/>
      </c>
    </row>
    <row r="22" spans="1:6" ht="13.5">
      <c r="A22" s="22" t="s">
        <v>71</v>
      </c>
      <c r="B22" s="23" t="str">
        <f>VLOOKUP(A22,[3]bmgzxx!$D$5:$AL$300,2,0)</f>
        <v>顾文权</v>
      </c>
      <c r="C22" s="24">
        <f>VLOOKUP(A22,[4]扣税计算!$A$3:$P$241,11,0)</f>
        <v>1430</v>
      </c>
      <c r="D22" s="25">
        <f>VLOOKUP(A22,[4]扣税计算!$A$3:$P$241,14,0)</f>
        <v>14.93</v>
      </c>
      <c r="E22" s="26" t="str">
        <f>VLOOKUP(A22,[4]扣税计算!$A$3:$R$268,15,0)</f>
        <v>3202160601064301762</v>
      </c>
      <c r="F22" s="27" t="str">
        <f>VLOOKUP(A22,[4]扣税计算!$A$3:$S$241,19,0)&amp;IF(VLOOKUP(A22,[4]扣税计算!$A$3:$S$241,18,0)=0,"","补"&amp;VLOOKUP(A22,[4]扣税计算!$A$3:$S$241,18,0))</f>
        <v/>
      </c>
    </row>
    <row r="23" spans="1:6" ht="13.5">
      <c r="A23" s="22" t="s">
        <v>73</v>
      </c>
      <c r="B23" s="23" t="str">
        <f>VLOOKUP(A23,[3]bmgzxx!$D$5:$AL$300,2,0)</f>
        <v>史良胜</v>
      </c>
      <c r="C23" s="24">
        <f>VLOOKUP(A23,[4]扣税计算!$A$3:$P$241,11,0)</f>
        <v>5000</v>
      </c>
      <c r="D23" s="25">
        <f>VLOOKUP(A23,[4]扣税计算!$A$3:$P$241,14,0)</f>
        <v>341.23</v>
      </c>
      <c r="E23" s="26" t="str">
        <f>VLOOKUP(A23,[4]扣税计算!$A$3:$R$268,15,0)</f>
        <v>3202160601064342040</v>
      </c>
      <c r="F23" s="27" t="str">
        <f>VLOOKUP(A23,[4]扣税计算!$A$3:$S$241,19,0)&amp;IF(VLOOKUP(A23,[4]扣税计算!$A$3:$S$241,18,0)=0,"","补"&amp;VLOOKUP(A23,[4]扣税计算!$A$3:$S$241,18,0))</f>
        <v>珞珈青年</v>
      </c>
    </row>
    <row r="24" spans="1:6" ht="13.5">
      <c r="A24" s="22" t="s">
        <v>105</v>
      </c>
      <c r="B24" s="23" t="str">
        <f>VLOOKUP(A24,[3]bmgzxx!$D$5:$AL$300,2,0)</f>
        <v>王长德</v>
      </c>
      <c r="C24" s="24">
        <f>VLOOKUP(A24,[4]扣税计算!$A$3:$P$241,11,0)</f>
        <v>4950</v>
      </c>
      <c r="D24" s="25">
        <f>VLOOKUP(A24,[4]扣税计算!$A$3:$P$241,14,0)</f>
        <v>0</v>
      </c>
      <c r="E24" s="26" t="str">
        <f>VLOOKUP(A24,[4]扣税计算!$A$3:$R$268,15,0)</f>
        <v>3202160601010416408</v>
      </c>
      <c r="F24" s="27" t="str">
        <f>VLOOKUP(A24,[4]扣税计算!$A$3:$S$241,19,0)&amp;IF(VLOOKUP(A24,[4]扣税计算!$A$3:$S$241,18,0)=0,"","补"&amp;VLOOKUP(A24,[4]扣税计算!$A$3:$S$241,18,0))</f>
        <v>60以上专家</v>
      </c>
    </row>
    <row r="25" spans="1:6" ht="13.5">
      <c r="A25" s="22" t="s">
        <v>195</v>
      </c>
      <c r="B25" s="23" t="str">
        <f>VLOOKUP(A25,[3]bmgzxx!$D$5:$AL$300,2,0)</f>
        <v>石自堂</v>
      </c>
      <c r="C25" s="24">
        <f>VLOOKUP(A25,[4]扣税计算!$A$3:$P$241,11,0)</f>
        <v>3350</v>
      </c>
      <c r="D25" s="25">
        <f>VLOOKUP(A25,[4]扣税计算!$A$3:$P$241,14,0)</f>
        <v>283.77999999999997</v>
      </c>
      <c r="E25" s="26" t="str">
        <f>VLOOKUP(A25,[4]扣税计算!$A$3:$R$268,15,0)</f>
        <v>3202160601010416532</v>
      </c>
      <c r="F25" s="27" t="str">
        <f>VLOOKUP(A25,[4]扣税计算!$A$3:$S$241,19,0)&amp;IF(VLOOKUP(A25,[4]扣税计算!$A$3:$S$241,18,0)=0,"","补"&amp;VLOOKUP(A25,[4]扣税计算!$A$3:$S$241,18,0))</f>
        <v/>
      </c>
    </row>
    <row r="26" spans="1:6" ht="13.5">
      <c r="A26" s="22" t="s">
        <v>191</v>
      </c>
      <c r="B26" s="23" t="str">
        <f>VLOOKUP(A26,[3]bmgzxx!$D$5:$AL$300,2,0)</f>
        <v>刘川顺</v>
      </c>
      <c r="C26" s="24">
        <f>VLOOKUP(A26,[4]扣税计算!$A$3:$P$241,11,0)</f>
        <v>3350</v>
      </c>
      <c r="D26" s="25">
        <f>VLOOKUP(A26,[4]扣税计算!$A$3:$P$241,14,0)</f>
        <v>277.01000000000005</v>
      </c>
      <c r="E26" s="26" t="str">
        <f>VLOOKUP(A26,[4]扣税计算!$A$3:$R$268,15,0)</f>
        <v>3202160601010417310</v>
      </c>
      <c r="F26" s="27" t="str">
        <f>VLOOKUP(A26,[4]扣税计算!$A$3:$S$241,19,0)&amp;IF(VLOOKUP(A26,[4]扣税计算!$A$3:$S$241,18,0)=0,"","补"&amp;VLOOKUP(A26,[4]扣税计算!$A$3:$S$241,18,0))</f>
        <v/>
      </c>
    </row>
    <row r="27" spans="1:6" ht="13.5">
      <c r="A27" s="22" t="s">
        <v>190</v>
      </c>
      <c r="B27" s="23" t="str">
        <f>VLOOKUP(A27,[3]bmgzxx!$D$5:$AL$300,2,0)</f>
        <v>李长城</v>
      </c>
      <c r="C27" s="24">
        <f>VLOOKUP(A27,[4]扣税计算!$A$3:$P$241,11,0)</f>
        <v>2100</v>
      </c>
      <c r="D27" s="25">
        <f>VLOOKUP(A27,[4]扣税计算!$A$3:$P$241,14,0)</f>
        <v>114.97</v>
      </c>
      <c r="E27" s="26" t="str">
        <f>VLOOKUP(A27,[4]扣税计算!$A$3:$R$268,15,0)</f>
        <v>3202160601010639823</v>
      </c>
      <c r="F27" s="27" t="str">
        <f>VLOOKUP(A27,[4]扣税计算!$A$3:$S$241,19,0)&amp;IF(VLOOKUP(A27,[4]扣税计算!$A$3:$S$241,18,0)=0,"","补"&amp;VLOOKUP(A27,[4]扣税计算!$A$3:$S$241,18,0))</f>
        <v/>
      </c>
    </row>
    <row r="28" spans="1:6" ht="13.5">
      <c r="A28" s="22" t="s">
        <v>194</v>
      </c>
      <c r="B28" s="23" t="str">
        <f>VLOOKUP(A28,[3]bmgzxx!$D$5:$AL$300,2,0)</f>
        <v>马有国</v>
      </c>
      <c r="C28" s="24">
        <f>VLOOKUP(A28,[4]扣税计算!$A$3:$P$241,11,0)</f>
        <v>2300</v>
      </c>
      <c r="D28" s="25">
        <f>VLOOKUP(A28,[4]扣税计算!$A$3:$P$241,14,0)</f>
        <v>141.03</v>
      </c>
      <c r="E28" s="26" t="str">
        <f>VLOOKUP(A28,[4]扣税计算!$A$3:$R$268,15,0)</f>
        <v>3202160601010416931</v>
      </c>
      <c r="F28" s="27" t="str">
        <f>VLOOKUP(A28,[4]扣税计算!$A$3:$S$241,19,0)&amp;IF(VLOOKUP(A28,[4]扣税计算!$A$3:$S$241,18,0)=0,"","补"&amp;VLOOKUP(A28,[4]扣税计算!$A$3:$S$241,18,0))</f>
        <v/>
      </c>
    </row>
    <row r="29" spans="1:6" ht="13.5">
      <c r="A29" s="22" t="s">
        <v>196</v>
      </c>
      <c r="B29" s="23" t="str">
        <f>VLOOKUP(A29,[3]bmgzxx!$D$5:$AL$300,2,0)</f>
        <v>夏富洲</v>
      </c>
      <c r="C29" s="24">
        <f>VLOOKUP(A29,[4]扣税计算!$A$3:$P$241,11,0)</f>
        <v>2300</v>
      </c>
      <c r="D29" s="25">
        <f>VLOOKUP(A29,[4]扣税计算!$A$3:$P$241,14,0)</f>
        <v>136.88999999999999</v>
      </c>
      <c r="E29" s="26" t="str">
        <f>VLOOKUP(A29,[4]扣税计算!$A$3:$R$268,15,0)</f>
        <v>3202160601010416807</v>
      </c>
      <c r="F29" s="27" t="str">
        <f>VLOOKUP(A29,[4]扣税计算!$A$3:$S$241,19,0)&amp;IF(VLOOKUP(A29,[4]扣税计算!$A$3:$S$241,18,0)=0,"","补"&amp;VLOOKUP(A29,[4]扣税计算!$A$3:$S$241,18,0))</f>
        <v/>
      </c>
    </row>
    <row r="30" spans="1:6" ht="13.5">
      <c r="A30" s="22" t="s">
        <v>192</v>
      </c>
      <c r="B30" s="23" t="str">
        <f>VLOOKUP(A30,[3]bmgzxx!$D$5:$AL$300,2,0)</f>
        <v>阮新建</v>
      </c>
      <c r="C30" s="24">
        <f>VLOOKUP(A30,[4]扣税计算!$A$3:$P$241,11,0)</f>
        <v>3350</v>
      </c>
      <c r="D30" s="25">
        <f>VLOOKUP(A30,[4]扣税计算!$A$3:$P$241,14,0)</f>
        <v>274.94</v>
      </c>
      <c r="E30" s="26" t="str">
        <f>VLOOKUP(A30,[4]扣税计算!$A$3:$R$268,15,0)</f>
        <v>3202160601010501505</v>
      </c>
      <c r="F30" s="27" t="str">
        <f>VLOOKUP(A30,[4]扣税计算!$A$3:$S$241,19,0)&amp;IF(VLOOKUP(A30,[4]扣税计算!$A$3:$S$241,18,0)=0,"","补"&amp;VLOOKUP(A30,[4]扣税计算!$A$3:$S$241,18,0))</f>
        <v/>
      </c>
    </row>
    <row r="31" spans="1:6" ht="13.5">
      <c r="A31" s="22" t="s">
        <v>197</v>
      </c>
      <c r="B31" s="23" t="str">
        <f>VLOOKUP(A31,[3]bmgzxx!$D$5:$AL$300,2,0)</f>
        <v>田兴参</v>
      </c>
      <c r="C31" s="24">
        <f>VLOOKUP(A31,[4]扣税计算!$A$3:$P$241,11,0)</f>
        <v>1950</v>
      </c>
      <c r="D31" s="25">
        <f>VLOOKUP(A31,[4]扣税计算!$A$3:$P$241,14,0)</f>
        <v>67.7</v>
      </c>
      <c r="E31" s="26" t="str">
        <f>VLOOKUP(A31,[4]扣税计算!$A$3:$R$268,15,0)</f>
        <v>3202160601010416780</v>
      </c>
      <c r="F31" s="27" t="str">
        <f>VLOOKUP(A31,[4]扣税计算!$A$3:$S$241,19,0)&amp;IF(VLOOKUP(A31,[4]扣税计算!$A$3:$S$241,18,0)=0,"","补"&amp;VLOOKUP(A31,[4]扣税计算!$A$3:$S$241,18,0))</f>
        <v/>
      </c>
    </row>
    <row r="32" spans="1:6" ht="13.5">
      <c r="A32" s="22" t="s">
        <v>52</v>
      </c>
      <c r="B32" s="23" t="str">
        <f>VLOOKUP(A32,[3]bmgzxx!$D$5:$AL$300,2,0)</f>
        <v>施玉群</v>
      </c>
      <c r="C32" s="24">
        <f>VLOOKUP(A32,[4]扣税计算!$A$3:$P$241,11,0)</f>
        <v>1950</v>
      </c>
      <c r="D32" s="25">
        <f>VLOOKUP(A32,[4]扣税计算!$A$3:$P$241,14,0)</f>
        <v>69.7</v>
      </c>
      <c r="E32" s="26" t="str">
        <f>VLOOKUP(A32,[4]扣税计算!$A$3:$R$268,15,0)</f>
        <v>3202160601064720622</v>
      </c>
      <c r="F32" s="27" t="str">
        <f>VLOOKUP(A32,[4]扣税计算!$A$3:$S$241,19,0)&amp;IF(VLOOKUP(A32,[4]扣税计算!$A$3:$S$241,18,0)=0,"","补"&amp;VLOOKUP(A32,[4]扣税计算!$A$3:$S$241,18,0))</f>
        <v/>
      </c>
    </row>
    <row r="33" spans="1:6" ht="13.5">
      <c r="A33" s="22" t="s">
        <v>199</v>
      </c>
      <c r="B33" s="23" t="str">
        <f>VLOOKUP(A33,[3]bmgzxx!$D$5:$AL$300,2,0)</f>
        <v>张劲松</v>
      </c>
      <c r="C33" s="24">
        <f>VLOOKUP(A33,[4]扣税计算!$A$3:$P$241,11,0)</f>
        <v>1950</v>
      </c>
      <c r="D33" s="25">
        <f>VLOOKUP(A33,[4]扣税计算!$A$3:$P$241,14,0)</f>
        <v>60.8</v>
      </c>
      <c r="E33" s="26" t="str">
        <f>VLOOKUP(A33,[4]扣税计算!$A$3:$R$268,15,0)</f>
        <v>3202160601010422307</v>
      </c>
      <c r="F33" s="27" t="str">
        <f>VLOOKUP(A33,[4]扣税计算!$A$3:$S$241,19,0)&amp;IF(VLOOKUP(A33,[4]扣税计算!$A$3:$S$241,18,0)=0,"","补"&amp;VLOOKUP(A33,[4]扣税计算!$A$3:$S$241,18,0))</f>
        <v/>
      </c>
    </row>
    <row r="34" spans="1:6" ht="13.5">
      <c r="A34" s="22" t="s">
        <v>200</v>
      </c>
      <c r="B34" s="23" t="str">
        <f>VLOOKUP(A34,[3]bmgzxx!$D$5:$AL$300,2,0)</f>
        <v>方朝阳</v>
      </c>
      <c r="C34" s="24">
        <f>VLOOKUP(A34,[4]扣税计算!$A$3:$P$241,11,0)</f>
        <v>2100</v>
      </c>
      <c r="D34" s="25">
        <f>VLOOKUP(A34,[4]扣税计算!$A$3:$P$241,14,0)</f>
        <v>86.99</v>
      </c>
      <c r="E34" s="26" t="str">
        <f>VLOOKUP(A34,[4]扣税计算!$A$3:$R$268,15,0)</f>
        <v>3202160601010422280</v>
      </c>
      <c r="F34" s="27" t="str">
        <f>VLOOKUP(A34,[4]扣税计算!$A$3:$S$241,19,0)&amp;IF(VLOOKUP(A34,[4]扣税计算!$A$3:$S$241,18,0)=0,"","补"&amp;VLOOKUP(A34,[4]扣税计算!$A$3:$S$241,18,0))</f>
        <v/>
      </c>
    </row>
    <row r="35" spans="1:6" ht="13.5">
      <c r="A35" s="22" t="s">
        <v>57</v>
      </c>
      <c r="B35" s="23" t="str">
        <f>VLOOKUP(A35,[3]bmgzxx!$D$5:$AL$300,2,0)</f>
        <v>李典庆</v>
      </c>
      <c r="C35" s="24">
        <f>VLOOKUP(A35,[4]扣税计算!$A$3:$P$241,11,0)</f>
        <v>10000</v>
      </c>
      <c r="D35" s="25">
        <f>VLOOKUP(A35,[4]扣税计算!$A$3:$P$241,14,0)</f>
        <v>1647.08</v>
      </c>
      <c r="E35" s="26" t="str">
        <f>VLOOKUP(A35,[4]扣税计算!$A$3:$R$268,15,0)</f>
        <v>3202160601062233819</v>
      </c>
      <c r="F35" s="27" t="str">
        <f>VLOOKUP(A35,[4]扣税计算!$A$3:$S$241,19,0)&amp;IF(VLOOKUP(A35,[4]扣税计算!$A$3:$S$241,18,0)=0,"","补"&amp;VLOOKUP(A35,[4]扣税计算!$A$3:$S$241,18,0))</f>
        <v>珞珈青年</v>
      </c>
    </row>
    <row r="36" spans="1:6" ht="13.5">
      <c r="A36" s="22" t="s">
        <v>198</v>
      </c>
      <c r="B36" s="23" t="str">
        <f>VLOOKUP(A36,[3]bmgzxx!$D$5:$AL$300,2,0)</f>
        <v>马军朝</v>
      </c>
      <c r="C36" s="24">
        <f>VLOOKUP(A36,[4]扣税计算!$A$3:$P$241,11,0)</f>
        <v>1580</v>
      </c>
      <c r="D36" s="25">
        <f>VLOOKUP(A36,[4]扣税计算!$A$3:$P$241,14,0)</f>
        <v>32.17</v>
      </c>
      <c r="E36" s="26" t="str">
        <f>VLOOKUP(A36,[4]扣税计算!$A$3:$R$268,15,0)</f>
        <v>3202160601010416656</v>
      </c>
      <c r="F36" s="27" t="str">
        <f>VLOOKUP(A36,[4]扣税计算!$A$3:$S$241,19,0)&amp;IF(VLOOKUP(A36,[4]扣税计算!$A$3:$S$241,18,0)=0,"","补"&amp;VLOOKUP(A36,[4]扣税计算!$A$3:$S$241,18,0))</f>
        <v/>
      </c>
    </row>
    <row r="37" spans="1:6" ht="13.5">
      <c r="A37" s="22" t="s">
        <v>189</v>
      </c>
      <c r="B37" s="23" t="str">
        <f>VLOOKUP(A37,[3]bmgzxx!$D$5:$AL$300,2,0)</f>
        <v>冯晓波</v>
      </c>
      <c r="C37" s="24">
        <f>VLOOKUP(A37,[4]扣税计算!$A$3:$P$241,11,0)</f>
        <v>1430</v>
      </c>
      <c r="D37" s="25">
        <f>VLOOKUP(A37,[4]扣税计算!$A$3:$P$241,14,0)</f>
        <v>18.98</v>
      </c>
      <c r="E37" s="26" t="str">
        <f>VLOOKUP(A37,[4]扣税计算!$A$3:$R$268,15,0)</f>
        <v>3202160601010704035</v>
      </c>
      <c r="F37" s="27" t="str">
        <f>VLOOKUP(A37,[4]扣税计算!$A$3:$S$241,19,0)&amp;IF(VLOOKUP(A37,[4]扣税计算!$A$3:$S$241,18,0)=0,"","补"&amp;VLOOKUP(A37,[4]扣税计算!$A$3:$S$241,18,0))</f>
        <v/>
      </c>
    </row>
    <row r="38" spans="1:6" ht="13.5">
      <c r="A38" s="22" t="s">
        <v>59</v>
      </c>
      <c r="B38" s="23" t="str">
        <f>VLOOKUP(A38,[3]bmgzxx!$D$5:$AL$300,2,0)</f>
        <v>管光华</v>
      </c>
      <c r="C38" s="24">
        <f>VLOOKUP(A38,[4]扣税计算!$A$3:$P$241,11,0)</f>
        <v>1950</v>
      </c>
      <c r="D38" s="25">
        <f>VLOOKUP(A38,[4]扣税计算!$A$3:$P$241,14,0)</f>
        <v>43.46</v>
      </c>
      <c r="E38" s="26" t="str">
        <f>VLOOKUP(A38,[4]扣税计算!$A$3:$R$268,15,0)</f>
        <v>3202160601063195983</v>
      </c>
      <c r="F38" s="27" t="str">
        <f>VLOOKUP(A38,[4]扣税计算!$A$3:$S$241,19,0)&amp;IF(VLOOKUP(A38,[4]扣税计算!$A$3:$S$241,18,0)=0,"","补"&amp;VLOOKUP(A38,[4]扣税计算!$A$3:$S$241,18,0))</f>
        <v/>
      </c>
    </row>
    <row r="39" spans="1:6" ht="13.5">
      <c r="A39" s="22" t="s">
        <v>94</v>
      </c>
      <c r="B39" s="23" t="str">
        <f>VLOOKUP(A39,[3]bmgzxx!$D$5:$AL$300,2,0)</f>
        <v>冯卫民</v>
      </c>
      <c r="C39" s="24">
        <f>VLOOKUP(A39,[4]扣税计算!$A$3:$P$241,11,0)</f>
        <v>3350</v>
      </c>
      <c r="D39" s="25">
        <f>VLOOKUP(A39,[4]扣税计算!$A$3:$P$241,14,0)</f>
        <v>283.77999999999997</v>
      </c>
      <c r="E39" s="26" t="str">
        <f>VLOOKUP(A39,[4]扣税计算!$A$3:$R$268,15,0)</f>
        <v>6222083202002213904</v>
      </c>
      <c r="F39" s="27" t="str">
        <f>VLOOKUP(A39,[4]扣税计算!$A$3:$S$241,19,0)&amp;IF(VLOOKUP(A39,[4]扣税计算!$A$3:$S$241,18,0)=0,"","补"&amp;VLOOKUP(A39,[4]扣税计算!$A$3:$S$241,18,0))</f>
        <v/>
      </c>
    </row>
    <row r="40" spans="1:6" ht="13.5">
      <c r="A40" s="22" t="s">
        <v>268</v>
      </c>
      <c r="B40" s="23" t="str">
        <f>VLOOKUP(A40,[3]bmgzxx!$D$5:$AL$300,2,0)</f>
        <v>郭志伟</v>
      </c>
      <c r="C40" s="24">
        <f>VLOOKUP(A40,[4]扣税计算!$A$3:$P$241,11,0)</f>
        <v>1600</v>
      </c>
      <c r="D40" s="25">
        <f>VLOOKUP(A40,[4]扣税计算!$A$3:$P$241,14,0)</f>
        <v>39.15</v>
      </c>
      <c r="E40" s="26" t="str">
        <f>VLOOKUP(A40,[4]扣税计算!$A$3:$R$268,15,0)</f>
        <v>6222023202048765217</v>
      </c>
      <c r="F40" s="27" t="str">
        <f>VLOOKUP(A40,[4]扣税计算!$A$3:$S$241,19,0)&amp;IF(VLOOKUP(A40,[4]扣税计算!$A$3:$S$241,18,0)=0,"","补"&amp;VLOOKUP(A40,[4]扣税计算!$A$3:$S$241,18,0))</f>
        <v/>
      </c>
    </row>
    <row r="41" spans="1:6" ht="13.5">
      <c r="A41" s="22" t="s">
        <v>93</v>
      </c>
      <c r="B41" s="23" t="str">
        <f>VLOOKUP(A41,[3]bmgzxx!$D$5:$AL$300,2,0)</f>
        <v>刘德祥</v>
      </c>
      <c r="C41" s="24">
        <f>VLOOKUP(A41,[4]扣税计算!$A$3:$P$241,11,0)</f>
        <v>2300</v>
      </c>
      <c r="D41" s="25">
        <f>VLOOKUP(A41,[4]扣税计算!$A$3:$P$241,14,0)</f>
        <v>134.82000000000002</v>
      </c>
      <c r="E41" s="26" t="str">
        <f>VLOOKUP(A41,[4]扣税计算!$A$3:$R$268,15,0)</f>
        <v>3202160601010418983</v>
      </c>
      <c r="F41" s="27" t="str">
        <f>VLOOKUP(A41,[4]扣税计算!$A$3:$S$241,19,0)&amp;IF(VLOOKUP(A41,[4]扣税计算!$A$3:$S$241,18,0)=0,"","补"&amp;VLOOKUP(A41,[4]扣税计算!$A$3:$S$241,18,0))</f>
        <v/>
      </c>
    </row>
    <row r="42" spans="1:6" ht="13.5">
      <c r="A42" s="22" t="s">
        <v>46</v>
      </c>
      <c r="B42" s="23" t="str">
        <f>VLOOKUP(A42,[3]bmgzxx!$D$5:$AL$300,2,0)</f>
        <v>钱忠东</v>
      </c>
      <c r="C42" s="24">
        <f>VLOOKUP(A42,[4]扣税计算!$A$3:$P$241,11,0)</f>
        <v>5000</v>
      </c>
      <c r="D42" s="25">
        <f>VLOOKUP(A42,[4]扣税计算!$A$3:$P$241,14,0)</f>
        <v>507.5</v>
      </c>
      <c r="E42" s="26" t="str">
        <f>VLOOKUP(A42,[4]扣税计算!$A$3:$R$268,15,0)</f>
        <v>3202160601061344501</v>
      </c>
      <c r="F42" s="27" t="str">
        <f>VLOOKUP(A42,[4]扣税计算!$A$3:$S$241,19,0)&amp;IF(VLOOKUP(A42,[4]扣税计算!$A$3:$S$241,18,0)=0,"","补"&amp;VLOOKUP(A42,[4]扣税计算!$A$3:$S$241,18,0))</f>
        <v>珞珈青年</v>
      </c>
    </row>
    <row r="43" spans="1:6" ht="13.5">
      <c r="A43" s="22" t="s">
        <v>92</v>
      </c>
      <c r="B43" s="23" t="str">
        <f>VLOOKUP(A43,[3]bmgzxx!$D$5:$AL$300,2,0)</f>
        <v>周龙才</v>
      </c>
      <c r="C43" s="24">
        <f>VLOOKUP(A43,[4]扣税计算!$A$3:$P$241,11,0)</f>
        <v>2100</v>
      </c>
      <c r="D43" s="25">
        <f>VLOOKUP(A43,[4]扣税计算!$A$3:$P$241,14,0)</f>
        <v>82.55</v>
      </c>
      <c r="E43" s="26" t="str">
        <f>VLOOKUP(A43,[4]扣税计算!$A$3:$R$268,15,0)</f>
        <v>3202160601010639149</v>
      </c>
      <c r="F43" s="27" t="str">
        <f>VLOOKUP(A43,[4]扣税计算!$A$3:$S$241,19,0)&amp;IF(VLOOKUP(A43,[4]扣税计算!$A$3:$S$241,18,0)=0,"","补"&amp;VLOOKUP(A43,[4]扣税计算!$A$3:$S$241,18,0))</f>
        <v/>
      </c>
    </row>
    <row r="44" spans="1:6" ht="13.5">
      <c r="A44" s="22" t="s">
        <v>91</v>
      </c>
      <c r="B44" s="23" t="str">
        <f>VLOOKUP(A44,[3]bmgzxx!$D$5:$AL$300,2,0)</f>
        <v>宋元胜</v>
      </c>
      <c r="C44" s="24">
        <f>VLOOKUP(A44,[4]扣税计算!$A$3:$P$241,11,0)</f>
        <v>2100</v>
      </c>
      <c r="D44" s="25">
        <f>VLOOKUP(A44,[4]扣税计算!$A$3:$P$241,14,0)</f>
        <v>101.49</v>
      </c>
      <c r="E44" s="26" t="str">
        <f>VLOOKUP(A44,[4]扣税计算!$A$3:$R$268,15,0)</f>
        <v>3202160601010419486</v>
      </c>
      <c r="F44" s="27" t="str">
        <f>VLOOKUP(A44,[4]扣税计算!$A$3:$S$241,19,0)&amp;IF(VLOOKUP(A44,[4]扣税计算!$A$3:$S$241,18,0)=0,"","补"&amp;VLOOKUP(A44,[4]扣税计算!$A$3:$S$241,18,0))</f>
        <v/>
      </c>
    </row>
    <row r="45" spans="1:6" ht="13.5">
      <c r="A45" s="22" t="s">
        <v>287</v>
      </c>
      <c r="B45" s="23" t="str">
        <f>VLOOKUP(A45,[3]bmgzxx!$D$5:$AL$300,2,0)</f>
        <v>谢 华</v>
      </c>
      <c r="C45" s="24">
        <f>VLOOKUP(A45,[4]扣税计算!$A$3:$P$241,11,0)</f>
        <v>1950</v>
      </c>
      <c r="D45" s="25">
        <f>VLOOKUP(A45,[4]扣税计算!$A$3:$P$241,14,0)</f>
        <v>44.06</v>
      </c>
      <c r="E45" s="26" t="str">
        <f>VLOOKUP(A45,[4]扣税计算!$A$3:$R$268,15,0)</f>
        <v>3202160601011057572</v>
      </c>
      <c r="F45" s="27" t="str">
        <f>VLOOKUP(A45,[4]扣税计算!$A$3:$S$241,19,0)&amp;IF(VLOOKUP(A45,[4]扣税计算!$A$3:$S$241,18,0)=0,"","补"&amp;VLOOKUP(A45,[4]扣税计算!$A$3:$S$241,18,0))</f>
        <v/>
      </c>
    </row>
    <row r="46" spans="1:6" ht="13.5">
      <c r="A46" s="22" t="s">
        <v>213</v>
      </c>
      <c r="B46" s="23" t="str">
        <f>VLOOKUP(A46,[3]bmgzxx!$D$5:$AL$300,2,0)</f>
        <v>谈广鸣</v>
      </c>
      <c r="C46" s="24">
        <f>VLOOKUP(A46,[4]扣税计算!$A$3:$P$241,11,0)</f>
        <v>6500</v>
      </c>
      <c r="D46" s="25">
        <f>VLOOKUP(A46,[4]扣税计算!$A$3:$P$241,14,0)</f>
        <v>975.84</v>
      </c>
      <c r="E46" s="26" t="str">
        <f>VLOOKUP(A46,[4]扣税计算!$A$3:$R$268,15,0)</f>
        <v>3202160601010424483</v>
      </c>
      <c r="F46" s="27" t="str">
        <f>VLOOKUP(A46,[4]扣税计算!$A$3:$S$241,19,0)&amp;IF(VLOOKUP(A46,[4]扣税计算!$A$3:$S$241,18,0)=0,"","补"&amp;VLOOKUP(A46,[4]扣税计算!$A$3:$S$241,18,0))</f>
        <v>补2000</v>
      </c>
    </row>
    <row r="47" spans="1:6" ht="13.5">
      <c r="A47" s="22" t="s">
        <v>220</v>
      </c>
      <c r="B47" s="23" t="str">
        <f>VLOOKUP(A47,[3]bmgzxx!$D$5:$AL$300,2,0)</f>
        <v>李义天</v>
      </c>
      <c r="C47" s="24">
        <f>VLOOKUP(A47,[4]扣税计算!$A$3:$P$241,11,0)</f>
        <v>9950</v>
      </c>
      <c r="D47" s="25">
        <f>VLOOKUP(A47,[4]扣税计算!$A$3:$P$241,14,0)</f>
        <v>1827.3000000000002</v>
      </c>
      <c r="E47" s="26" t="str">
        <f>VLOOKUP(A47,[4]扣税计算!$A$3:$R$268,15,0)</f>
        <v>3202160601010429144</v>
      </c>
      <c r="F47" s="27" t="str">
        <f>VLOOKUP(A47,[4]扣税计算!$A$3:$S$241,19,0)&amp;IF(VLOOKUP(A47,[4]扣税计算!$A$3:$S$241,18,0)=0,"","补"&amp;VLOOKUP(A47,[4]扣税计算!$A$3:$S$241,18,0))</f>
        <v/>
      </c>
    </row>
    <row r="48" spans="1:6" ht="13.5">
      <c r="A48" s="22" t="s">
        <v>255</v>
      </c>
      <c r="B48" s="23" t="str">
        <f>VLOOKUP(A48,[3]bmgzxx!$D$5:$AL$300,2,0)</f>
        <v>杨国录</v>
      </c>
      <c r="C48" s="24">
        <f>VLOOKUP(A48,[4]扣税计算!$A$3:$P$241,11,0)</f>
        <v>4950</v>
      </c>
      <c r="D48" s="25">
        <f>VLOOKUP(A48,[4]扣税计算!$A$3:$P$241,14,0)</f>
        <v>699.86</v>
      </c>
      <c r="E48" s="26" t="str">
        <f>VLOOKUP(A48,[4]扣税计算!$A$3:$R$268,15,0)</f>
        <v>3202160601011293315</v>
      </c>
      <c r="F48" s="27" t="str">
        <f>VLOOKUP(A48,[4]扣税计算!$A$3:$S$241,19,0)&amp;IF(VLOOKUP(A48,[4]扣税计算!$A$3:$S$241,18,0)=0,"","补"&amp;VLOOKUP(A48,[4]扣税计算!$A$3:$S$241,18,0))</f>
        <v/>
      </c>
    </row>
    <row r="49" spans="1:6" ht="13.5">
      <c r="A49" s="22" t="s">
        <v>215</v>
      </c>
      <c r="B49" s="23" t="str">
        <f>VLOOKUP(A49,[3]bmgzxx!$D$5:$AL$300,2,0)</f>
        <v>陈 立</v>
      </c>
      <c r="C49" s="24">
        <f>VLOOKUP(A49,[4]扣税计算!$A$3:$P$241,11,0)</f>
        <v>5350</v>
      </c>
      <c r="D49" s="25">
        <f>VLOOKUP(A49,[4]扣税计算!$A$3:$P$241,14,0)</f>
        <v>691.05</v>
      </c>
      <c r="E49" s="26" t="str">
        <f>VLOOKUP(A49,[4]扣税计算!$A$3:$R$268,15,0)</f>
        <v>3202160601010424758</v>
      </c>
      <c r="F49" s="27" t="str">
        <f>VLOOKUP(A49,[4]扣税计算!$A$3:$S$241,19,0)&amp;IF(VLOOKUP(A49,[4]扣税计算!$A$3:$S$241,18,0)=0,"","补"&amp;VLOOKUP(A49,[4]扣税计算!$A$3:$S$241,18,0))</f>
        <v/>
      </c>
    </row>
    <row r="50" spans="1:6" ht="13.5">
      <c r="A50" s="22" t="s">
        <v>74</v>
      </c>
      <c r="B50" s="23" t="str">
        <f>VLOOKUP(A50,[3]bmgzxx!$D$5:$AL$300,2,0)</f>
        <v>夏军强</v>
      </c>
      <c r="C50" s="24">
        <f>VLOOKUP(A50,[4]扣税计算!$A$3:$P$241,11,0)</f>
        <v>7500</v>
      </c>
      <c r="D50" s="25">
        <f>VLOOKUP(A50,[4]扣税计算!$A$3:$P$241,14,0)</f>
        <v>1058.6500000000001</v>
      </c>
      <c r="E50" s="26" t="str">
        <f>VLOOKUP(A50,[4]扣税计算!$A$3:$R$268,15,0)</f>
        <v>3202160601064510590</v>
      </c>
      <c r="F50" s="27" t="str">
        <f>VLOOKUP(A50,[4]扣税计算!$A$3:$S$241,19,0)&amp;IF(VLOOKUP(A50,[4]扣税计算!$A$3:$S$241,18,0)=0,"","补"&amp;VLOOKUP(A50,[4]扣税计算!$A$3:$S$241,18,0))</f>
        <v>楚天特聘教授</v>
      </c>
    </row>
    <row r="51" spans="1:6" ht="13.5">
      <c r="A51" s="22" t="s">
        <v>69</v>
      </c>
      <c r="B51" s="23" t="str">
        <f>VLOOKUP(A51,[3]bmgzxx!$D$5:$AL$300,2,0)</f>
        <v>舒彩文</v>
      </c>
      <c r="C51" s="24">
        <f>VLOOKUP(A51,[4]扣税计算!$A$3:$P$241,11,0)</f>
        <v>1950</v>
      </c>
      <c r="D51" s="25">
        <f>VLOOKUP(A51,[4]扣税计算!$A$3:$P$241,14,0)</f>
        <v>41.84</v>
      </c>
      <c r="E51" s="26" t="str">
        <f>VLOOKUP(A51,[4]扣税计算!$A$3:$R$268,15,0)</f>
        <v>6222083202003483068</v>
      </c>
      <c r="F51" s="27" t="str">
        <f>VLOOKUP(A51,[4]扣税计算!$A$3:$S$241,19,0)&amp;IF(VLOOKUP(A51,[4]扣税计算!$A$3:$S$241,18,0)=0,"","补"&amp;VLOOKUP(A51,[4]扣税计算!$A$3:$S$241,18,0))</f>
        <v/>
      </c>
    </row>
    <row r="52" spans="1:6" ht="13.5">
      <c r="A52" s="22" t="s">
        <v>219</v>
      </c>
      <c r="B52" s="23" t="str">
        <f>VLOOKUP(A52,[3]bmgzxx!$D$5:$AL$300,2,0)</f>
        <v>张小峰</v>
      </c>
      <c r="C52" s="24">
        <f>VLOOKUP(A52,[4]扣税计算!$A$3:$P$241,11,0)</f>
        <v>4150</v>
      </c>
      <c r="D52" s="25">
        <f>VLOOKUP(A52,[4]扣税计算!$A$3:$P$241,14,0)</f>
        <v>467.99</v>
      </c>
      <c r="E52" s="26" t="str">
        <f>VLOOKUP(A52,[4]扣税计算!$A$3:$R$268,15,0)</f>
        <v>3202160601010424634</v>
      </c>
      <c r="F52" s="27" t="str">
        <f>VLOOKUP(A52,[4]扣税计算!$A$3:$S$241,19,0)&amp;IF(VLOOKUP(A52,[4]扣税计算!$A$3:$S$241,18,0)=0,"","补"&amp;VLOOKUP(A52,[4]扣税计算!$A$3:$S$241,18,0))</f>
        <v/>
      </c>
    </row>
    <row r="53" spans="1:6" ht="13.5">
      <c r="A53" s="22" t="s">
        <v>222</v>
      </c>
      <c r="B53" s="23" t="str">
        <f>VLOOKUP(A53,[3]bmgzxx!$D$5:$AL$300,2,0)</f>
        <v>韦直林</v>
      </c>
      <c r="C53" s="24">
        <f>VLOOKUP(A53,[4]扣税计算!$A$3:$P$241,11,0)</f>
        <v>4150</v>
      </c>
      <c r="D53" s="25">
        <f>VLOOKUP(A53,[4]扣税计算!$A$3:$P$241,14,0)</f>
        <v>479.40000000000003</v>
      </c>
      <c r="E53" s="26" t="str">
        <f>VLOOKUP(A53,[4]扣税计算!$A$3:$R$268,15,0)</f>
        <v>3202160601010428916</v>
      </c>
      <c r="F53" s="27" t="str">
        <f>VLOOKUP(A53,[4]扣税计算!$A$3:$S$241,19,0)&amp;IF(VLOOKUP(A53,[4]扣税计算!$A$3:$S$241,18,0)=0,"","补"&amp;VLOOKUP(A53,[4]扣税计算!$A$3:$S$241,18,0))</f>
        <v/>
      </c>
    </row>
    <row r="54" spans="1:6" ht="13.5">
      <c r="A54" s="22" t="s">
        <v>47</v>
      </c>
      <c r="B54" s="23" t="str">
        <f>VLOOKUP(A54,[3]bmgzxx!$D$5:$AL$300,2,0)</f>
        <v>曹志先</v>
      </c>
      <c r="C54" s="24">
        <f>VLOOKUP(A54,[4]扣税计算!$A$3:$P$241,11,0)</f>
        <v>4950</v>
      </c>
      <c r="D54" s="25">
        <f>VLOOKUP(A54,[4]扣税计算!$A$3:$P$241,14,0)</f>
        <v>671.55</v>
      </c>
      <c r="E54" s="26" t="str">
        <f>VLOOKUP(A54,[4]扣税计算!$A$3:$R$268,15,0)</f>
        <v>3202160601061344474</v>
      </c>
      <c r="F54" s="27" t="str">
        <f>VLOOKUP(A54,[4]扣税计算!$A$3:$S$241,19,0)&amp;IF(VLOOKUP(A54,[4]扣税计算!$A$3:$S$241,18,0)=0,"","补"&amp;VLOOKUP(A54,[4]扣税计算!$A$3:$S$241,18,0))</f>
        <v/>
      </c>
    </row>
    <row r="55" spans="1:6" ht="13.5">
      <c r="A55" s="22" t="s">
        <v>214</v>
      </c>
      <c r="B55" s="23" t="str">
        <f>VLOOKUP(A55,[3]bmgzxx!$D$5:$AL$300,2,0)</f>
        <v>熊治平</v>
      </c>
      <c r="C55" s="24">
        <f>VLOOKUP(A55,[4]扣税计算!$A$3:$P$241,11,0)</f>
        <v>2300</v>
      </c>
      <c r="D55" s="25">
        <f>VLOOKUP(A55,[4]扣税计算!$A$3:$P$241,14,0)</f>
        <v>150.07</v>
      </c>
      <c r="E55" s="26" t="str">
        <f>VLOOKUP(A55,[4]扣税计算!$A$3:$R$268,15,0)</f>
        <v>3202160601010423980</v>
      </c>
      <c r="F55" s="27" t="str">
        <f>VLOOKUP(A55,[4]扣税计算!$A$3:$S$241,19,0)&amp;IF(VLOOKUP(A55,[4]扣税计算!$A$3:$S$241,18,0)=0,"","补"&amp;VLOOKUP(A55,[4]扣税计算!$A$3:$S$241,18,0))</f>
        <v/>
      </c>
    </row>
    <row r="56" spans="1:6" ht="13.5">
      <c r="A56" s="22" t="s">
        <v>221</v>
      </c>
      <c r="B56" s="23" t="str">
        <f>VLOOKUP(A56,[3]bmgzxx!$D$5:$AL$300,2,0)</f>
        <v>吴卫民</v>
      </c>
      <c r="C56" s="24">
        <f>VLOOKUP(A56,[4]扣税计算!$A$3:$P$241,11,0)</f>
        <v>2300</v>
      </c>
      <c r="D56" s="25">
        <f>VLOOKUP(A56,[4]扣税计算!$A$3:$P$241,14,0)</f>
        <v>145.45000000000002</v>
      </c>
      <c r="E56" s="26" t="str">
        <f>VLOOKUP(A56,[4]扣税计算!$A$3:$R$268,15,0)</f>
        <v>3202160601010429392</v>
      </c>
      <c r="F56" s="27" t="str">
        <f>VLOOKUP(A56,[4]扣税计算!$A$3:$S$241,19,0)&amp;IF(VLOOKUP(A56,[4]扣税计算!$A$3:$S$241,18,0)=0,"","补"&amp;VLOOKUP(A56,[4]扣税计算!$A$3:$S$241,18,0))</f>
        <v/>
      </c>
    </row>
    <row r="57" spans="1:6" ht="13.5">
      <c r="A57" s="22" t="s">
        <v>224</v>
      </c>
      <c r="B57" s="23" t="str">
        <f>VLOOKUP(A57,[3]bmgzxx!$D$5:$AL$300,2,0)</f>
        <v>余明辉</v>
      </c>
      <c r="C57" s="24">
        <f>VLOOKUP(A57,[4]扣税计算!$A$3:$P$241,11,0)</f>
        <v>3350</v>
      </c>
      <c r="D57" s="25">
        <f>VLOOKUP(A57,[4]扣税计算!$A$3:$P$241,14,0)</f>
        <v>261.84000000000003</v>
      </c>
      <c r="E57" s="26" t="str">
        <f>VLOOKUP(A57,[4]扣税计算!$A$3:$R$268,15,0)</f>
        <v>3202160601010705061</v>
      </c>
      <c r="F57" s="27" t="str">
        <f>VLOOKUP(A57,[4]扣税计算!$A$3:$S$241,19,0)&amp;IF(VLOOKUP(A57,[4]扣税计算!$A$3:$S$241,18,0)=0,"","补"&amp;VLOOKUP(A57,[4]扣税计算!$A$3:$S$241,18,0))</f>
        <v/>
      </c>
    </row>
    <row r="58" spans="1:6" ht="13.5">
      <c r="A58" s="22" t="s">
        <v>42</v>
      </c>
      <c r="B58" s="23" t="str">
        <f>VLOOKUP(A58,[3]bmgzxx!$D$5:$AL$300,2,0)</f>
        <v>邓金运</v>
      </c>
      <c r="C58" s="24">
        <f>VLOOKUP(A58,[4]扣税计算!$A$3:$P$241,11,0)</f>
        <v>1950</v>
      </c>
      <c r="D58" s="25">
        <f>VLOOKUP(A58,[4]扣税计算!$A$3:$P$241,14,0)</f>
        <v>44.62</v>
      </c>
      <c r="E58" s="26" t="str">
        <f>VLOOKUP(A58,[4]扣税计算!$A$3:$R$268,15,0)</f>
        <v>3202160601060207331</v>
      </c>
      <c r="F58" s="27" t="str">
        <f>VLOOKUP(A58,[4]扣税计算!$A$3:$S$241,19,0)&amp;IF(VLOOKUP(A58,[4]扣税计算!$A$3:$S$241,18,0)=0,"","补"&amp;VLOOKUP(A58,[4]扣税计算!$A$3:$S$241,18,0))</f>
        <v/>
      </c>
    </row>
    <row r="59" spans="1:6" ht="13.5">
      <c r="A59" s="22" t="s">
        <v>50</v>
      </c>
      <c r="B59" s="23" t="str">
        <f>VLOOKUP(A59,[3]bmgzxx!$D$5:$AL$300,2,0)</f>
        <v>孙昭华</v>
      </c>
      <c r="C59" s="24">
        <f>VLOOKUP(A59,[4]扣税计算!$A$3:$P$241,11,0)</f>
        <v>1950</v>
      </c>
      <c r="D59" s="25">
        <f>VLOOKUP(A59,[4]扣税计算!$A$3:$P$241,14,0)</f>
        <v>44.06</v>
      </c>
      <c r="E59" s="26" t="str">
        <f>VLOOKUP(A59,[4]扣税计算!$A$3:$R$268,15,0)</f>
        <v>3202160601061673452</v>
      </c>
      <c r="F59" s="27" t="str">
        <f>VLOOKUP(A59,[4]扣税计算!$A$3:$S$241,19,0)&amp;IF(VLOOKUP(A59,[4]扣税计算!$A$3:$S$241,18,0)=0,"","补"&amp;VLOOKUP(A59,[4]扣税计算!$A$3:$S$241,18,0))</f>
        <v/>
      </c>
    </row>
    <row r="60" spans="1:6" ht="13.5">
      <c r="A60" s="22" t="s">
        <v>60</v>
      </c>
      <c r="B60" s="23" t="str">
        <f>VLOOKUP(A60,[3]bmgzxx!$D$5:$AL$300,2,0)</f>
        <v>张 为</v>
      </c>
      <c r="C60" s="24">
        <f>VLOOKUP(A60,[4]扣税计算!$A$3:$P$241,11,0)</f>
        <v>1950</v>
      </c>
      <c r="D60" s="25">
        <f>VLOOKUP(A60,[4]扣税计算!$A$3:$P$241,14,0)</f>
        <v>43.46</v>
      </c>
      <c r="E60" s="26" t="str">
        <f>VLOOKUP(A60,[4]扣税计算!$A$3:$R$268,15,0)</f>
        <v>3202160601063196087</v>
      </c>
      <c r="F60" s="27" t="str">
        <f>VLOOKUP(A60,[4]扣税计算!$A$3:$S$241,19,0)&amp;IF(VLOOKUP(A60,[4]扣税计算!$A$3:$S$241,18,0)=0,"","补"&amp;VLOOKUP(A60,[4]扣税计算!$A$3:$S$241,18,0))</f>
        <v/>
      </c>
    </row>
    <row r="61" spans="1:6" ht="13.5">
      <c r="A61" s="22" t="s">
        <v>225</v>
      </c>
      <c r="B61" s="23" t="str">
        <f>VLOOKUP(A61,[3]bmgzxx!$D$5:$AL$300,2,0)</f>
        <v>李可可</v>
      </c>
      <c r="C61" s="24">
        <f>VLOOKUP(A61,[4]扣税计算!$A$3:$P$241,11,0)</f>
        <v>3350</v>
      </c>
      <c r="D61" s="25">
        <f>VLOOKUP(A61,[4]扣税计算!$A$3:$P$241,14,0)</f>
        <v>274.27</v>
      </c>
      <c r="E61" s="26" t="str">
        <f>VLOOKUP(A61,[4]扣税计算!$A$3:$R$268,15,0)</f>
        <v>3202160601010382230</v>
      </c>
      <c r="F61" s="27" t="str">
        <f>VLOOKUP(A61,[4]扣税计算!$A$3:$S$241,19,0)&amp;IF(VLOOKUP(A61,[4]扣税计算!$A$3:$S$241,18,0)=0,"","补"&amp;VLOOKUP(A61,[4]扣税计算!$A$3:$S$241,18,0))</f>
        <v/>
      </c>
    </row>
    <row r="62" spans="1:6" ht="13.5">
      <c r="A62" s="22" t="s">
        <v>226</v>
      </c>
      <c r="B62" s="23" t="str">
        <f>VLOOKUP(A62,[3]bmgzxx!$D$5:$AL$300,2,0)</f>
        <v>梁 利</v>
      </c>
      <c r="C62" s="24">
        <f>VLOOKUP(A62,[4]扣税计算!$A$3:$P$241,11,0)</f>
        <v>1430</v>
      </c>
      <c r="D62" s="25">
        <f>VLOOKUP(A62,[4]扣税计算!$A$3:$P$241,14,0)</f>
        <v>20.82</v>
      </c>
      <c r="E62" s="26" t="str">
        <f>VLOOKUP(A62,[4]扣税计算!$A$3:$R$268,15,0)</f>
        <v>3202160601010618284</v>
      </c>
      <c r="F62" s="27" t="str">
        <f>VLOOKUP(A62,[4]扣税计算!$A$3:$S$241,19,0)&amp;IF(VLOOKUP(A62,[4]扣税计算!$A$3:$S$241,18,0)=0,"","补"&amp;VLOOKUP(A62,[4]扣税计算!$A$3:$S$241,18,0))</f>
        <v/>
      </c>
    </row>
    <row r="63" spans="1:6" ht="13.5">
      <c r="A63" s="22" t="s">
        <v>227</v>
      </c>
      <c r="B63" s="23" t="str">
        <f>VLOOKUP(A63,[3]bmgzxx!$D$5:$AL$300,2,0)</f>
        <v>王 红</v>
      </c>
      <c r="C63" s="24">
        <f>VLOOKUP(A63,[4]扣税计算!$A$3:$P$241,11,0)</f>
        <v>1430</v>
      </c>
      <c r="D63" s="25">
        <f>VLOOKUP(A63,[4]扣税计算!$A$3:$P$241,14,0)</f>
        <v>22.1</v>
      </c>
      <c r="E63" s="26" t="str">
        <f>VLOOKUP(A63,[4]扣税计算!$A$3:$R$268,15,0)</f>
        <v>3202160601010636966</v>
      </c>
      <c r="F63" s="27" t="str">
        <f>VLOOKUP(A63,[4]扣税计算!$A$3:$S$241,19,0)&amp;IF(VLOOKUP(A63,[4]扣税计算!$A$3:$S$241,18,0)=0,"","补"&amp;VLOOKUP(A63,[4]扣税计算!$A$3:$S$241,18,0))</f>
        <v/>
      </c>
    </row>
    <row r="64" spans="1:6" ht="13.5">
      <c r="A64" s="22" t="s">
        <v>51</v>
      </c>
      <c r="B64" s="23" t="str">
        <f>VLOOKUP(A64,[3]bmgzxx!$D$5:$AL$300,2,0)</f>
        <v>李 奔</v>
      </c>
      <c r="C64" s="24">
        <f>VLOOKUP(A64,[4]扣税计算!$A$3:$P$241,11,0)</f>
        <v>1280</v>
      </c>
      <c r="D64" s="25">
        <f>VLOOKUP(A64,[4]扣税计算!$A$3:$P$241,14,0)</f>
        <v>8.93</v>
      </c>
      <c r="E64" s="26" t="str">
        <f>VLOOKUP(A64,[4]扣税计算!$A$3:$R$268,15,0)</f>
        <v>3202160601061673328</v>
      </c>
      <c r="F64" s="27" t="str">
        <f>VLOOKUP(A64,[4]扣税计算!$A$3:$S$241,19,0)&amp;IF(VLOOKUP(A64,[4]扣税计算!$A$3:$S$241,18,0)=0,"","补"&amp;VLOOKUP(A64,[4]扣税计算!$A$3:$S$241,18,0))</f>
        <v/>
      </c>
    </row>
    <row r="65" spans="1:6" ht="13.5">
      <c r="A65" s="22" t="s">
        <v>247</v>
      </c>
      <c r="B65" s="23" t="str">
        <f>VLOOKUP(A65,[3]bmgzxx!$D$5:$AL$300,2,0)</f>
        <v>槐文信</v>
      </c>
      <c r="C65" s="24">
        <f>VLOOKUP(A65,[4]扣税计算!$A$3:$P$241,11,0)</f>
        <v>4950</v>
      </c>
      <c r="D65" s="25">
        <f>VLOOKUP(A65,[4]扣税计算!$A$3:$P$241,14,0)</f>
        <v>682.78</v>
      </c>
      <c r="E65" s="26" t="str">
        <f>VLOOKUP(A65,[4]扣税计算!$A$3:$R$268,15,0)</f>
        <v>6222083202004622078</v>
      </c>
      <c r="F65" s="27" t="str">
        <f>VLOOKUP(A65,[4]扣税计算!$A$3:$S$241,19,0)&amp;IF(VLOOKUP(A65,[4]扣税计算!$A$3:$S$241,18,0)=0,"","补"&amp;VLOOKUP(A65,[4]扣税计算!$A$3:$S$241,18,0))</f>
        <v/>
      </c>
    </row>
    <row r="66" spans="1:6" ht="13.5">
      <c r="A66" s="22" t="s">
        <v>243</v>
      </c>
      <c r="B66" s="23" t="str">
        <f>VLOOKUP(A66,[3]bmgzxx!$D$5:$AL$300,2,0)</f>
        <v>黄社华</v>
      </c>
      <c r="C66" s="24">
        <f>VLOOKUP(A66,[4]扣税计算!$A$3:$P$241,11,0)</f>
        <v>3350</v>
      </c>
      <c r="D66" s="25">
        <f>VLOOKUP(A66,[4]扣税计算!$A$3:$P$241,14,0)</f>
        <v>277.01000000000005</v>
      </c>
      <c r="E66" s="26" t="str">
        <f>VLOOKUP(A66,[4]扣税计算!$A$3:$R$268,15,0)</f>
        <v>3202160601010423058</v>
      </c>
      <c r="F66" s="27" t="str">
        <f>VLOOKUP(A66,[4]扣税计算!$A$3:$S$241,19,0)&amp;IF(VLOOKUP(A66,[4]扣税计算!$A$3:$S$241,18,0)=0,"","补"&amp;VLOOKUP(A66,[4]扣税计算!$A$3:$S$241,18,0))</f>
        <v/>
      </c>
    </row>
    <row r="67" spans="1:6" ht="13.5">
      <c r="A67" s="22" t="s">
        <v>253</v>
      </c>
      <c r="B67" s="23" t="str">
        <f>VLOOKUP(A67,[3]bmgzxx!$D$5:$AL$300,2,0)</f>
        <v>陈大宏</v>
      </c>
      <c r="C67" s="24">
        <f>VLOOKUP(A67,[4]扣税计算!$A$3:$P$241,11,0)</f>
        <v>1900</v>
      </c>
      <c r="D67" s="25">
        <f>VLOOKUP(A67,[4]扣税计算!$A$3:$P$241,14,0)</f>
        <v>96.89</v>
      </c>
      <c r="E67" s="26" t="str">
        <f>VLOOKUP(A67,[4]扣税计算!$A$3:$R$268,15,0)</f>
        <v>3202160601010643492</v>
      </c>
      <c r="F67" s="27" t="str">
        <f>VLOOKUP(A67,[4]扣税计算!$A$3:$S$241,19,0)&amp;IF(VLOOKUP(A67,[4]扣税计算!$A$3:$S$241,18,0)=0,"","补"&amp;VLOOKUP(A67,[4]扣税计算!$A$3:$S$241,18,0))</f>
        <v/>
      </c>
    </row>
    <row r="68" spans="1:6" ht="13.5">
      <c r="A68" s="22" t="s">
        <v>244</v>
      </c>
      <c r="B68" s="23" t="str">
        <f>VLOOKUP(A68,[3]bmgzxx!$D$5:$AL$300,2,0)</f>
        <v>齐鄂荣</v>
      </c>
      <c r="C68" s="24">
        <f>VLOOKUP(A68,[4]扣税计算!$A$3:$P$241,11,0)</f>
        <v>2300</v>
      </c>
      <c r="D68" s="25">
        <f>VLOOKUP(A68,[4]扣税计算!$A$3:$P$241,14,0)</f>
        <v>145.45000000000002</v>
      </c>
      <c r="E68" s="26" t="str">
        <f>VLOOKUP(A68,[4]扣税计算!$A$3:$R$268,15,0)</f>
        <v>3202160601010426287</v>
      </c>
      <c r="F68" s="27" t="str">
        <f>VLOOKUP(A68,[4]扣税计算!$A$3:$S$241,19,0)&amp;IF(VLOOKUP(A68,[4]扣税计算!$A$3:$S$241,18,0)=0,"","补"&amp;VLOOKUP(A68,[4]扣税计算!$A$3:$S$241,18,0))</f>
        <v/>
      </c>
    </row>
    <row r="69" spans="1:6" ht="13.5">
      <c r="A69" s="22" t="s">
        <v>245</v>
      </c>
      <c r="B69" s="23" t="str">
        <f>VLOOKUP(A69,[3]bmgzxx!$D$5:$AL$300,2,0)</f>
        <v>赵 昕</v>
      </c>
      <c r="C69" s="24">
        <f>VLOOKUP(A69,[4]扣税计算!$A$3:$P$241,11,0)</f>
        <v>2300</v>
      </c>
      <c r="D69" s="25">
        <f>VLOOKUP(A69,[4]扣税计算!$A$3:$P$241,14,0)</f>
        <v>145.45000000000002</v>
      </c>
      <c r="E69" s="26" t="str">
        <f>VLOOKUP(A69,[4]扣税计算!$A$3:$R$268,15,0)</f>
        <v>3202160601010427189</v>
      </c>
      <c r="F69" s="27" t="str">
        <f>VLOOKUP(A69,[4]扣税计算!$A$3:$S$241,19,0)&amp;IF(VLOOKUP(A69,[4]扣税计算!$A$3:$S$241,18,0)=0,"","补"&amp;VLOOKUP(A69,[4]扣税计算!$A$3:$S$241,18,0))</f>
        <v/>
      </c>
    </row>
    <row r="70" spans="1:6" ht="13.5">
      <c r="A70" s="22" t="s">
        <v>248</v>
      </c>
      <c r="B70" s="23" t="str">
        <f>VLOOKUP(A70,[3]bmgzxx!$D$5:$AL$300,2,0)</f>
        <v>杨晓亭</v>
      </c>
      <c r="C70" s="24">
        <f>VLOOKUP(A70,[4]扣税计算!$A$3:$P$241,11,0)</f>
        <v>2300</v>
      </c>
      <c r="D70" s="25">
        <f>VLOOKUP(A70,[4]扣税计算!$A$3:$P$241,14,0)</f>
        <v>134.82000000000002</v>
      </c>
      <c r="E70" s="26" t="str">
        <f>VLOOKUP(A70,[4]扣税计算!$A$3:$R$268,15,0)</f>
        <v>3202160601010427065</v>
      </c>
      <c r="F70" s="27" t="str">
        <f>VLOOKUP(A70,[4]扣税计算!$A$3:$S$241,19,0)&amp;IF(VLOOKUP(A70,[4]扣税计算!$A$3:$S$241,18,0)=0,"","补"&amp;VLOOKUP(A70,[4]扣税计算!$A$3:$S$241,18,0))</f>
        <v/>
      </c>
    </row>
    <row r="71" spans="1:6" ht="13.5">
      <c r="A71" s="22" t="s">
        <v>251</v>
      </c>
      <c r="B71" s="23" t="str">
        <f>VLOOKUP(A71,[3]bmgzxx!$D$5:$AL$300,2,0)</f>
        <v>赵明登</v>
      </c>
      <c r="C71" s="24">
        <f>VLOOKUP(A71,[4]扣税计算!$A$3:$P$241,11,0)</f>
        <v>3350</v>
      </c>
      <c r="D71" s="25">
        <f>VLOOKUP(A71,[4]扣税计算!$A$3:$P$241,14,0)</f>
        <v>272.87</v>
      </c>
      <c r="E71" s="26" t="str">
        <f>VLOOKUP(A71,[4]扣税计算!$A$3:$R$268,15,0)</f>
        <v>3202160601010426961</v>
      </c>
      <c r="F71" s="27" t="str">
        <f>VLOOKUP(A71,[4]扣税计算!$A$3:$S$241,19,0)&amp;IF(VLOOKUP(A71,[4]扣税计算!$A$3:$S$241,18,0)=0,"","补"&amp;VLOOKUP(A71,[4]扣税计算!$A$3:$S$241,18,0))</f>
        <v/>
      </c>
    </row>
    <row r="72" spans="1:6" ht="13.5">
      <c r="A72" s="22" t="s">
        <v>38</v>
      </c>
      <c r="B72" s="23" t="str">
        <f>VLOOKUP(A72,[3]bmgzxx!$D$5:$AL$300,2,0)</f>
        <v>曾玉红</v>
      </c>
      <c r="C72" s="24">
        <f>VLOOKUP(A72,[4]扣税计算!$A$3:$P$241,11,0)</f>
        <v>1950</v>
      </c>
      <c r="D72" s="25">
        <f>VLOOKUP(A72,[4]扣税计算!$A$3:$P$241,14,0)</f>
        <v>44.66</v>
      </c>
      <c r="E72" s="26" t="str">
        <f>VLOOKUP(A72,[4]扣税计算!$A$3:$R$268,15,0)</f>
        <v>3202160601011057173</v>
      </c>
      <c r="F72" s="27" t="str">
        <f>VLOOKUP(A72,[4]扣税计算!$A$3:$S$241,19,0)&amp;IF(VLOOKUP(A72,[4]扣税计算!$A$3:$S$241,18,0)=0,"","补"&amp;VLOOKUP(A72,[4]扣税计算!$A$3:$S$241,18,0))</f>
        <v>青年学者</v>
      </c>
    </row>
    <row r="73" spans="1:6" ht="13.5">
      <c r="A73" s="29" t="s">
        <v>45</v>
      </c>
      <c r="B73" s="23" t="str">
        <f>VLOOKUP(A73,[3]bmgzxx!$D$5:$AL$300,2,0)</f>
        <v>杨中华</v>
      </c>
      <c r="C73" s="24">
        <f>VLOOKUP(A73,[4]扣税计算!$A$3:$P$241,11,0)</f>
        <v>1950</v>
      </c>
      <c r="D73" s="25">
        <f>VLOOKUP(A73,[4]扣税计算!$A$3:$P$241,14,0)</f>
        <v>44.06</v>
      </c>
      <c r="E73" s="26" t="str">
        <f>VLOOKUP(A73,[4]扣税计算!$A$3:$R$268,15,0)</f>
        <v>3202160601060876990</v>
      </c>
      <c r="F73" s="27" t="str">
        <f>VLOOKUP(A73,[4]扣税计算!$A$3:$S$241,19,0)&amp;IF(VLOOKUP(A73,[4]扣税计算!$A$3:$S$241,18,0)=0,"","补"&amp;VLOOKUP(A73,[4]扣税计算!$A$3:$S$241,18,0))</f>
        <v/>
      </c>
    </row>
    <row r="74" spans="1:6" ht="13.5">
      <c r="A74" s="22" t="s">
        <v>70</v>
      </c>
      <c r="B74" s="23" t="str">
        <f>VLOOKUP(A74,[3]bmgzxx!$D$5:$AL$300,2,0)</f>
        <v>李 丹</v>
      </c>
      <c r="C74" s="24">
        <f>VLOOKUP(A74,[4]扣税计算!$A$3:$P$241,11,0)</f>
        <v>1430</v>
      </c>
      <c r="D74" s="25">
        <f>VLOOKUP(A74,[4]扣税计算!$A$3:$P$241,14,0)</f>
        <v>14.93</v>
      </c>
      <c r="E74" s="26" t="str">
        <f>VLOOKUP(A74,[4]扣税计算!$A$3:$R$268,15,0)</f>
        <v>3202160601063515736</v>
      </c>
      <c r="F74" s="27" t="str">
        <f>VLOOKUP(A74,[4]扣税计算!$A$3:$S$241,19,0)&amp;IF(VLOOKUP(A74,[4]扣税计算!$A$3:$S$241,18,0)=0,"","补"&amp;VLOOKUP(A74,[4]扣税计算!$A$3:$S$241,18,0))</f>
        <v/>
      </c>
    </row>
    <row r="75" spans="1:6" ht="13.5">
      <c r="A75" s="30" t="s">
        <v>123</v>
      </c>
      <c r="B75" s="23" t="str">
        <f>VLOOKUP(A75,[3]bmgzxx!$D$5:$AL$300,2,0)</f>
        <v>刘士和</v>
      </c>
      <c r="C75" s="24">
        <f>VLOOKUP(A75,[4]扣税计算!$A$3:$P$241,11,0)</f>
        <v>4950</v>
      </c>
      <c r="D75" s="25">
        <f>VLOOKUP(A75,[4]扣税计算!$A$3:$P$241,14,0)</f>
        <v>692.45999999999992</v>
      </c>
      <c r="E75" s="26" t="str">
        <f>VLOOKUP(A75,[4]扣税计算!$A$3:$R$268,15,0)</f>
        <v>3202160601060288430</v>
      </c>
      <c r="F75" s="27" t="str">
        <f>VLOOKUP(A75,[4]扣税计算!$A$3:$S$241,19,0)&amp;IF(VLOOKUP(A75,[4]扣税计算!$A$3:$S$241,18,0)=0,"","补"&amp;VLOOKUP(A75,[4]扣税计算!$A$3:$S$241,18,0))</f>
        <v/>
      </c>
    </row>
    <row r="76" spans="1:6" ht="13.5">
      <c r="A76" s="22" t="s">
        <v>124</v>
      </c>
      <c r="B76" s="23" t="str">
        <f>VLOOKUP(A76,[3]bmgzxx!$D$5:$AL$300,2,0)</f>
        <v>陆 晶</v>
      </c>
      <c r="C76" s="24">
        <f>VLOOKUP(A76,[4]扣税计算!$A$3:$P$241,11,0)</f>
        <v>2100</v>
      </c>
      <c r="D76" s="25">
        <f>VLOOKUP(A76,[4]扣税计算!$A$3:$P$241,14,0)</f>
        <v>82.38</v>
      </c>
      <c r="E76" s="26" t="str">
        <f>VLOOKUP(A76,[4]扣税计算!$A$3:$R$268,15,0)</f>
        <v>3202160601010635940</v>
      </c>
      <c r="F76" s="27" t="str">
        <f>VLOOKUP(A76,[4]扣税计算!$A$3:$S$241,19,0)&amp;IF(VLOOKUP(A76,[4]扣税计算!$A$3:$S$241,18,0)=0,"","补"&amp;VLOOKUP(A76,[4]扣税计算!$A$3:$S$241,18,0))</f>
        <v/>
      </c>
    </row>
    <row r="77" spans="1:6" ht="13.5">
      <c r="A77" s="22" t="s">
        <v>236</v>
      </c>
      <c r="B77" s="23" t="str">
        <f>VLOOKUP(A77,[3]bmgzxx!$D$5:$AL$300,2,0)</f>
        <v>梅亚东</v>
      </c>
      <c r="C77" s="24">
        <f>VLOOKUP(A77,[4]扣税计算!$A$3:$P$241,11,0)</f>
        <v>5350</v>
      </c>
      <c r="D77" s="25">
        <f>VLOOKUP(A77,[4]扣税计算!$A$3:$P$241,14,0)</f>
        <v>691.05</v>
      </c>
      <c r="E77" s="26" t="str">
        <f>VLOOKUP(A77,[4]扣税计算!$A$3:$R$268,15,0)</f>
        <v>3202160601010468939</v>
      </c>
      <c r="F77" s="27" t="str">
        <f>VLOOKUP(A77,[4]扣税计算!$A$3:$S$241,19,0)&amp;IF(VLOOKUP(A77,[4]扣税计算!$A$3:$S$241,18,0)=0,"","补"&amp;VLOOKUP(A77,[4]扣税计算!$A$3:$S$241,18,0))</f>
        <v/>
      </c>
    </row>
    <row r="78" spans="1:6" ht="13.5">
      <c r="A78" s="22" t="s">
        <v>65</v>
      </c>
      <c r="B78" s="23" t="str">
        <f>VLOOKUP(A78,[3]bmgzxx!$D$5:$AL$300,2,0)</f>
        <v>董前进</v>
      </c>
      <c r="C78" s="24">
        <f>VLOOKUP(A78,[4]扣税计算!$A$3:$P$241,11,0)</f>
        <v>1950</v>
      </c>
      <c r="D78" s="25">
        <f>VLOOKUP(A78,[4]扣税计算!$A$3:$P$241,14,0)</f>
        <v>42.9</v>
      </c>
      <c r="E78" s="26" t="str">
        <f>VLOOKUP(A78,[4]扣税计算!$A$3:$R$268,15,0)</f>
        <v>3202160601063510703</v>
      </c>
      <c r="F78" s="27" t="str">
        <f>VLOOKUP(A78,[4]扣税计算!$A$3:$S$241,19,0)&amp;IF(VLOOKUP(A78,[4]扣税计算!$A$3:$S$241,18,0)=0,"","补"&amp;VLOOKUP(A78,[4]扣税计算!$A$3:$S$241,18,0))</f>
        <v/>
      </c>
    </row>
    <row r="79" spans="1:6" ht="13.5">
      <c r="A79" s="22" t="s">
        <v>237</v>
      </c>
      <c r="B79" s="23" t="str">
        <f>VLOOKUP(A79,[3]bmgzxx!$D$5:$AL$300,2,0)</f>
        <v>陈森林</v>
      </c>
      <c r="C79" s="24">
        <f>VLOOKUP(A79,[4]扣税计算!$A$3:$P$241,11,0)</f>
        <v>3350</v>
      </c>
      <c r="D79" s="25">
        <f>VLOOKUP(A79,[4]扣税计算!$A$3:$P$241,14,0)</f>
        <v>277.01000000000005</v>
      </c>
      <c r="E79" s="26" t="str">
        <f>VLOOKUP(A79,[4]扣税计算!$A$3:$R$268,15,0)</f>
        <v>6212883202000036177</v>
      </c>
      <c r="F79" s="27" t="str">
        <f>VLOOKUP(A79,[4]扣税计算!$A$3:$S$241,19,0)&amp;IF(VLOOKUP(A79,[4]扣税计算!$A$3:$S$241,18,0)=0,"","补"&amp;VLOOKUP(A79,[4]扣税计算!$A$3:$S$241,18,0))</f>
        <v/>
      </c>
    </row>
    <row r="80" spans="1:6" ht="13.5">
      <c r="A80" s="22" t="s">
        <v>238</v>
      </c>
      <c r="B80" s="23" t="str">
        <f>VLOOKUP(A80,[3]bmgzxx!$D$5:$AL$300,2,0)</f>
        <v>万 俊</v>
      </c>
      <c r="C80" s="24">
        <f>VLOOKUP(A80,[4]扣税计算!$A$3:$P$241,11,0)</f>
        <v>2300</v>
      </c>
      <c r="D80" s="25">
        <f>VLOOKUP(A80,[4]扣税计算!$A$3:$P$241,14,0)</f>
        <v>141.03</v>
      </c>
      <c r="E80" s="26" t="str">
        <f>VLOOKUP(A80,[4]扣税计算!$A$3:$R$268,15,0)</f>
        <v>3202160601010468788</v>
      </c>
      <c r="F80" s="27" t="str">
        <f>VLOOKUP(A80,[4]扣税计算!$A$3:$S$241,19,0)&amp;IF(VLOOKUP(A80,[4]扣税计算!$A$3:$S$241,18,0)=0,"","补"&amp;VLOOKUP(A80,[4]扣税计算!$A$3:$S$241,18,0))</f>
        <v/>
      </c>
    </row>
    <row r="81" spans="1:6" ht="13.5">
      <c r="A81" s="22" t="s">
        <v>235</v>
      </c>
      <c r="B81" s="23" t="str">
        <f>VLOOKUP(A81,[3]bmgzxx!$D$5:$AL$300,2,0)</f>
        <v>高似春</v>
      </c>
      <c r="C81" s="24">
        <f>VLOOKUP(A81,[4]扣税计算!$A$3:$P$241,11,0)</f>
        <v>2100</v>
      </c>
      <c r="D81" s="25">
        <f>VLOOKUP(A81,[4]扣税计算!$A$3:$P$241,14,0)</f>
        <v>105.74000000000001</v>
      </c>
      <c r="E81" s="26" t="str">
        <f>VLOOKUP(A81,[4]扣税计算!$A$3:$R$268,15,0)</f>
        <v>3202160601011314854</v>
      </c>
      <c r="F81" s="27" t="str">
        <f>VLOOKUP(A81,[4]扣税计算!$A$3:$S$241,19,0)&amp;IF(VLOOKUP(A81,[4]扣税计算!$A$3:$S$241,18,0)=0,"","补"&amp;VLOOKUP(A81,[4]扣税计算!$A$3:$S$241,18,0))</f>
        <v/>
      </c>
    </row>
    <row r="82" spans="1:6" ht="13.5">
      <c r="A82" s="22" t="s">
        <v>233</v>
      </c>
      <c r="B82" s="23" t="str">
        <f>VLOOKUP(A82,[3]bmgzxx!$D$5:$AL$300,2,0)</f>
        <v>付 湘</v>
      </c>
      <c r="C82" s="24">
        <f>VLOOKUP(A82,[4]扣税计算!$A$3:$P$241,11,0)</f>
        <v>3350</v>
      </c>
      <c r="D82" s="25">
        <f>VLOOKUP(A82,[4]扣税计算!$A$3:$P$241,14,0)</f>
        <v>258.73</v>
      </c>
      <c r="E82" s="26" t="str">
        <f>VLOOKUP(A82,[4]扣税计算!$A$3:$R$268,15,0)</f>
        <v>3202160601010705460</v>
      </c>
      <c r="F82" s="27" t="str">
        <f>VLOOKUP(A82,[4]扣税计算!$A$3:$S$241,19,0)&amp;IF(VLOOKUP(A82,[4]扣税计算!$A$3:$S$241,18,0)=0,"","补"&amp;VLOOKUP(A82,[4]扣税计算!$A$3:$S$241,18,0))</f>
        <v/>
      </c>
    </row>
    <row r="83" spans="1:6" ht="13.5">
      <c r="A83" s="22" t="s">
        <v>239</v>
      </c>
      <c r="B83" s="23" t="str">
        <f>VLOOKUP(A83,[3]bmgzxx!$D$5:$AL$300,2,0)</f>
        <v>艾学山</v>
      </c>
      <c r="C83" s="24">
        <f>VLOOKUP(A83,[4]扣税计算!$A$3:$P$241,11,0)</f>
        <v>1950</v>
      </c>
      <c r="D83" s="25">
        <f>VLOOKUP(A83,[4]扣税计算!$A$3:$P$241,14,0)</f>
        <v>0</v>
      </c>
      <c r="E83" s="26" t="str">
        <f>VLOOKUP(A83,[4]扣税计算!$A$3:$R$268,15,0)</f>
        <v>3202160601010649454</v>
      </c>
      <c r="F83" s="27" t="str">
        <f>VLOOKUP(A83,[4]扣税计算!$A$3:$S$241,19,0)&amp;IF(VLOOKUP(A83,[4]扣税计算!$A$3:$S$241,18,0)=0,"","补"&amp;VLOOKUP(A83,[4]扣税计算!$A$3:$S$241,18,0))</f>
        <v/>
      </c>
    </row>
    <row r="84" spans="1:6" ht="13.5">
      <c r="A84" s="22" t="s">
        <v>241</v>
      </c>
      <c r="B84" s="23" t="str">
        <f>VLOOKUP(A84,[3]bmgzxx!$D$5:$AL$300,2,0)</f>
        <v>马 勇</v>
      </c>
      <c r="C84" s="24">
        <f>VLOOKUP(A84,[4]扣税计算!$A$3:$P$241,11,0)</f>
        <v>1580</v>
      </c>
      <c r="D84" s="25">
        <f>VLOOKUP(A84,[4]扣税计算!$A$3:$P$241,14,0)</f>
        <v>29.38</v>
      </c>
      <c r="E84" s="26" t="str">
        <f>VLOOKUP(A84,[4]扣税计算!$A$3:$R$268,15,0)</f>
        <v>3202160601010862129</v>
      </c>
      <c r="F84" s="27" t="str">
        <f>VLOOKUP(A84,[4]扣税计算!$A$3:$S$241,19,0)&amp;IF(VLOOKUP(A84,[4]扣税计算!$A$3:$S$241,18,0)=0,"","补"&amp;VLOOKUP(A84,[4]扣税计算!$A$3:$S$241,18,0))</f>
        <v/>
      </c>
    </row>
    <row r="85" spans="1:6" ht="13.5">
      <c r="A85" s="22" t="s">
        <v>240</v>
      </c>
      <c r="B85" s="23" t="str">
        <f>VLOOKUP(A85,[3]bmgzxx!$D$5:$AL$300,2,0)</f>
        <v>万 飚</v>
      </c>
      <c r="C85" s="24">
        <f>VLOOKUP(A85,[4]扣税计算!$A$3:$P$241,11,0)</f>
        <v>1430</v>
      </c>
      <c r="D85" s="25">
        <f>VLOOKUP(A85,[4]扣税计算!$A$3:$P$241,14,0)</f>
        <v>18.36</v>
      </c>
      <c r="E85" s="26" t="str">
        <f>VLOOKUP(A85,[4]扣税计算!$A$3:$R$268,15,0)</f>
        <v>3202160601010861750</v>
      </c>
      <c r="F85" s="27" t="str">
        <f>VLOOKUP(A85,[4]扣税计算!$A$3:$S$241,19,0)&amp;IF(VLOOKUP(A85,[4]扣税计算!$A$3:$S$241,18,0)=0,"","补"&amp;VLOOKUP(A85,[4]扣税计算!$A$3:$S$241,18,0))</f>
        <v/>
      </c>
    </row>
    <row r="86" spans="1:6" ht="13.5">
      <c r="A86" s="22" t="s">
        <v>205</v>
      </c>
      <c r="B86" s="23" t="str">
        <f>VLOOKUP(A86,[3]bmgzxx!$D$5:$AL$300,2,0)</f>
        <v>宋星原</v>
      </c>
      <c r="C86" s="24">
        <f>VLOOKUP(A86,[4]扣税计算!$A$3:$P$241,11,0)</f>
        <v>4150</v>
      </c>
      <c r="D86" s="25">
        <f>VLOOKUP(A86,[4]扣税计算!$A$3:$P$241,14,0)</f>
        <v>485.59999999999997</v>
      </c>
      <c r="E86" s="26" t="str">
        <f>VLOOKUP(A86,[4]扣税计算!$A$3:$R$268,15,0)</f>
        <v>3202160601062355994</v>
      </c>
      <c r="F86" s="27" t="str">
        <f>VLOOKUP(A86,[4]扣税计算!$A$3:$S$241,19,0)&amp;IF(VLOOKUP(A86,[4]扣税计算!$A$3:$S$241,18,0)=0,"","补"&amp;VLOOKUP(A86,[4]扣税计算!$A$3:$S$241,18,0))</f>
        <v/>
      </c>
    </row>
    <row r="87" spans="1:6" ht="13.5">
      <c r="A87" s="22" t="s">
        <v>260</v>
      </c>
      <c r="B87" s="23" t="str">
        <f>VLOOKUP(A87,[3]bmgzxx!$D$5:$AL$300,2,0)</f>
        <v>张艳军</v>
      </c>
      <c r="C87" s="24">
        <f>VLOOKUP(A87,[4]扣税计算!$A$3:$P$241,11,0)</f>
        <v>1580</v>
      </c>
      <c r="D87" s="25">
        <f>VLOOKUP(A87,[4]扣税计算!$A$3:$P$241,14,0)</f>
        <v>20.49</v>
      </c>
      <c r="E87" s="26" t="str">
        <f>VLOOKUP(A87,[4]扣税计算!$A$3:$R$268,15,0)</f>
        <v>3202160601064830165</v>
      </c>
      <c r="F87" s="27" t="str">
        <f>VLOOKUP(A87,[4]扣税计算!$A$3:$S$241,19,0)&amp;IF(VLOOKUP(A87,[4]扣税计算!$A$3:$S$241,18,0)=0,"","补"&amp;VLOOKUP(A87,[4]扣税计算!$A$3:$S$241,18,0))</f>
        <v/>
      </c>
    </row>
    <row r="88" spans="1:6" ht="13.5">
      <c r="A88" s="22" t="s">
        <v>96</v>
      </c>
      <c r="B88" s="23" t="str">
        <f>VLOOKUP(A88,[3]bmgzxx!$D$5:$AL$300,2,0)</f>
        <v>郭生练</v>
      </c>
      <c r="C88" s="24">
        <f>VLOOKUP(A88,[4]扣税计算!$A$3:$P$241,11,0)</f>
        <v>4950</v>
      </c>
      <c r="D88" s="25">
        <f>VLOOKUP(A88,[4]扣税计算!$A$3:$P$241,14,0)</f>
        <v>43.5</v>
      </c>
      <c r="E88" s="26" t="str">
        <f>VLOOKUP(A88,[4]扣税计算!$A$3:$R$268,15,0)</f>
        <v>3202160601010428517</v>
      </c>
      <c r="F88" s="27" t="str">
        <f>VLOOKUP(A88,[4]扣税计算!$A$3:$S$241,19,0)&amp;IF(VLOOKUP(A88,[4]扣税计算!$A$3:$S$241,18,0)=0,"","补"&amp;VLOOKUP(A88,[4]扣税计算!$A$3:$S$241,18,0))</f>
        <v/>
      </c>
    </row>
    <row r="89" spans="1:6" ht="13.5">
      <c r="A89" s="22" t="s">
        <v>206</v>
      </c>
      <c r="B89" s="23" t="str">
        <f>VLOOKUP(A89,[3]bmgzxx!$D$5:$AL$300,2,0)</f>
        <v>李 兰</v>
      </c>
      <c r="C89" s="24">
        <f>VLOOKUP(A89,[4]扣税计算!$A$3:$P$241,11,0)</f>
        <v>4150</v>
      </c>
      <c r="D89" s="25">
        <f>VLOOKUP(A89,[4]扣税计算!$A$3:$P$241,14,0)</f>
        <v>477.1</v>
      </c>
      <c r="E89" s="26" t="str">
        <f>VLOOKUP(A89,[4]扣税计算!$A$3:$R$268,15,0)</f>
        <v>3202160601010621229</v>
      </c>
      <c r="F89" s="27" t="str">
        <f>VLOOKUP(A89,[4]扣税计算!$A$3:$S$241,19,0)&amp;IF(VLOOKUP(A89,[4]扣税计算!$A$3:$S$241,18,0)=0,"","补"&amp;VLOOKUP(A89,[4]扣税计算!$A$3:$S$241,18,0))</f>
        <v/>
      </c>
    </row>
    <row r="90" spans="1:6" ht="13.5">
      <c r="A90" s="22" t="s">
        <v>207</v>
      </c>
      <c r="B90" s="23" t="str">
        <f>VLOOKUP(A90,[3]bmgzxx!$D$5:$AL$300,2,0)</f>
        <v>谢 平</v>
      </c>
      <c r="C90" s="24">
        <f>VLOOKUP(A90,[4]扣税计算!$A$3:$P$241,11,0)</f>
        <v>3350</v>
      </c>
      <c r="D90" s="25">
        <f>VLOOKUP(A90,[4]扣税计算!$A$3:$P$241,14,0)</f>
        <v>279.09000000000003</v>
      </c>
      <c r="E90" s="26" t="str">
        <f>VLOOKUP(A90,[4]扣税计算!$A$3:$R$268,15,0)</f>
        <v>3202160601010428641</v>
      </c>
      <c r="F90" s="27" t="str">
        <f>VLOOKUP(A90,[4]扣税计算!$A$3:$S$241,19,0)&amp;IF(VLOOKUP(A90,[4]扣税计算!$A$3:$S$241,18,0)=0,"","补"&amp;VLOOKUP(A90,[4]扣税计算!$A$3:$S$241,18,0))</f>
        <v/>
      </c>
    </row>
    <row r="91" spans="1:6" ht="13.5">
      <c r="A91" s="22" t="s">
        <v>203</v>
      </c>
      <c r="B91" s="23" t="str">
        <f>VLOOKUP(A91,[3]bmgzxx!$D$5:$AL$300,2,0)</f>
        <v>熊立华</v>
      </c>
      <c r="C91" s="24">
        <f>VLOOKUP(A91,[4]扣税计算!$A$3:$P$241,11,0)</f>
        <v>9900</v>
      </c>
      <c r="D91" s="25">
        <f>VLOOKUP(A91,[4]扣税计算!$A$3:$P$241,14,0)</f>
        <v>1642.27</v>
      </c>
      <c r="E91" s="26" t="str">
        <f>VLOOKUP(A91,[4]扣税计算!$A$3:$R$268,15,0)</f>
        <v>3202160601010629642</v>
      </c>
      <c r="F91" s="27" t="str">
        <f>VLOOKUP(A91,[4]扣税计算!$A$3:$S$241,19,0)&amp;IF(VLOOKUP(A91,[4]扣税计算!$A$3:$S$241,18,0)=0,"","补"&amp;VLOOKUP(A91,[4]扣税计算!$A$3:$S$241,18,0))</f>
        <v>珞珈特聘补1200</v>
      </c>
    </row>
    <row r="92" spans="1:6" ht="13.5">
      <c r="A92" s="22" t="s">
        <v>262</v>
      </c>
      <c r="B92" s="23" t="str">
        <f>VLOOKUP(A92,[3]bmgzxx!$D$5:$AL$300,2,0)</f>
        <v>林 琳</v>
      </c>
      <c r="C92" s="24">
        <f>VLOOKUP(A92,[4]扣税计算!$A$3:$P$241,11,0)</f>
        <v>1950</v>
      </c>
      <c r="D92" s="25">
        <f>VLOOKUP(A92,[4]扣税计算!$A$3:$P$241,14,0)</f>
        <v>44.06</v>
      </c>
      <c r="E92" s="26" t="str">
        <f>VLOOKUP(A92,[4]扣税计算!$A$3:$R$268,15,0)</f>
        <v>6222083202001881461</v>
      </c>
      <c r="F92" s="27" t="str">
        <f>VLOOKUP(A92,[4]扣税计算!$A$3:$S$241,19,0)&amp;IF(VLOOKUP(A92,[4]扣税计算!$A$3:$S$241,18,0)=0,"","补"&amp;VLOOKUP(A92,[4]扣税计算!$A$3:$S$241,18,0))</f>
        <v/>
      </c>
    </row>
    <row r="93" spans="1:6" ht="13.5">
      <c r="A93" s="22" t="s">
        <v>211</v>
      </c>
      <c r="B93" s="23" t="str">
        <f>VLOOKUP(A93,[3]bmgzxx!$D$5:$AL$300,2,0)</f>
        <v>张 翔SL</v>
      </c>
      <c r="C93" s="24">
        <f>VLOOKUP(A93,[4]扣税计算!$A$3:$P$241,11,0)</f>
        <v>3350</v>
      </c>
      <c r="D93" s="25">
        <f>VLOOKUP(A93,[4]扣税计算!$A$3:$P$241,14,0)</f>
        <v>262.10000000000002</v>
      </c>
      <c r="E93" s="26" t="str">
        <f>VLOOKUP(A93,[4]扣税计算!$A$3:$R$268,15,0)</f>
        <v>3202160601010645447</v>
      </c>
      <c r="F93" s="27" t="str">
        <f>VLOOKUP(A93,[4]扣税计算!$A$3:$S$241,19,0)&amp;IF(VLOOKUP(A93,[4]扣税计算!$A$3:$S$241,18,0)=0,"","补"&amp;VLOOKUP(A93,[4]扣税计算!$A$3:$S$241,18,0))</f>
        <v/>
      </c>
    </row>
    <row r="94" spans="1:6" ht="13.5">
      <c r="A94" s="22" t="s">
        <v>78</v>
      </c>
      <c r="B94" s="23" t="str">
        <f>VLOOKUP(A94,[3]bmgzxx!$D$5:$AL$300,2,0)</f>
        <v>刘德地</v>
      </c>
      <c r="C94" s="24">
        <f>VLOOKUP(A94,[4]扣税计算!$A$3:$P$241,11,0)</f>
        <v>1950</v>
      </c>
      <c r="D94" s="25">
        <f>VLOOKUP(A94,[4]扣税计算!$A$3:$P$241,14,0)</f>
        <v>43.46</v>
      </c>
      <c r="E94" s="26" t="str">
        <f>VLOOKUP(A94,[4]扣税计算!$A$3:$R$268,15,0)</f>
        <v>6222023202023264756</v>
      </c>
      <c r="F94" s="27" t="str">
        <f>VLOOKUP(A94,[4]扣税计算!$A$3:$S$241,19,0)&amp;IF(VLOOKUP(A94,[4]扣税计算!$A$3:$S$241,18,0)=0,"","补"&amp;VLOOKUP(A94,[4]扣税计算!$A$3:$S$241,18,0))</f>
        <v/>
      </c>
    </row>
    <row r="95" spans="1:6" ht="13.5">
      <c r="A95" s="22" t="s">
        <v>209</v>
      </c>
      <c r="B95" s="23" t="str">
        <f>VLOOKUP(A95,[3]bmgzxx!$D$5:$AL$300,2,0)</f>
        <v>肖益民</v>
      </c>
      <c r="C95" s="24">
        <f>VLOOKUP(A95,[4]扣税计算!$A$3:$P$241,11,0)</f>
        <v>2100</v>
      </c>
      <c r="D95" s="25">
        <f>VLOOKUP(A95,[4]扣税计算!$A$3:$P$241,14,0)</f>
        <v>100.93</v>
      </c>
      <c r="E95" s="26" t="str">
        <f>VLOOKUP(A95,[4]扣税计算!$A$3:$R$268,15,0)</f>
        <v>3202160601010427863</v>
      </c>
      <c r="F95" s="27" t="str">
        <f>VLOOKUP(A95,[4]扣税计算!$A$3:$S$241,19,0)&amp;IF(VLOOKUP(A95,[4]扣税计算!$A$3:$S$241,18,0)=0,"","补"&amp;VLOOKUP(A95,[4]扣税计算!$A$3:$S$241,18,0))</f>
        <v/>
      </c>
    </row>
    <row r="96" spans="1:6" ht="13.5">
      <c r="A96" s="22" t="s">
        <v>210</v>
      </c>
      <c r="B96" s="23" t="str">
        <f>VLOOKUP(A96,[3]bmgzxx!$D$5:$AL$300,2,0)</f>
        <v>彭 虹</v>
      </c>
      <c r="C96" s="24">
        <f>VLOOKUP(A96,[4]扣税计算!$A$3:$P$241,11,0)</f>
        <v>2100</v>
      </c>
      <c r="D96" s="25">
        <f>VLOOKUP(A96,[4]扣税计算!$A$3:$P$241,14,0)</f>
        <v>88.99</v>
      </c>
      <c r="E96" s="26" t="str">
        <f>VLOOKUP(A96,[4]扣税计算!$A$3:$R$268,15,0)</f>
        <v>3202160601010641289</v>
      </c>
      <c r="F96" s="27" t="str">
        <f>VLOOKUP(A96,[4]扣税计算!$A$3:$S$241,19,0)&amp;IF(VLOOKUP(A96,[4]扣税计算!$A$3:$S$241,18,0)=0,"","补"&amp;VLOOKUP(A96,[4]扣税计算!$A$3:$S$241,18,0))</f>
        <v/>
      </c>
    </row>
    <row r="97" spans="1:6" ht="13.5">
      <c r="A97" s="22" t="s">
        <v>204</v>
      </c>
      <c r="B97" s="23" t="str">
        <f>VLOOKUP(A97,[3]bmgzxx!$D$5:$AL$300,2,0)</f>
        <v>夏 军</v>
      </c>
      <c r="C97" s="24">
        <f>VLOOKUP(A97,[4]扣税计算!$A$3:$P$241,11,0)</f>
        <v>7500</v>
      </c>
      <c r="D97" s="25">
        <f>VLOOKUP(A97,[4]扣税计算!$A$3:$P$241,14,0)</f>
        <v>1237.52</v>
      </c>
      <c r="E97" s="26" t="str">
        <f>VLOOKUP(A97,[4]扣税计算!$A$3:$R$268,15,0)</f>
        <v>3202160601065200215</v>
      </c>
      <c r="F97" s="27" t="str">
        <f>VLOOKUP(A97,[4]扣税计算!$A$3:$S$241,19,0)&amp;IF(VLOOKUP(A97,[4]扣税计算!$A$3:$S$241,18,0)=0,"","补"&amp;VLOOKUP(A97,[4]扣税计算!$A$3:$S$241,18,0))</f>
        <v>特聘教授</v>
      </c>
    </row>
    <row r="98" spans="1:6" ht="13.5">
      <c r="A98" s="22" t="s">
        <v>202</v>
      </c>
      <c r="B98" s="23" t="str">
        <f>VLOOKUP(A98,[3]bmgzxx!$D$5:$AL$300,2,0)</f>
        <v>张利平</v>
      </c>
      <c r="C98" s="24">
        <f>VLOOKUP(A98,[4]扣税计算!$A$3:$P$241,11,0)</f>
        <v>3350</v>
      </c>
      <c r="D98" s="25">
        <f>VLOOKUP(A98,[4]扣税计算!$A$3:$P$241,14,0)</f>
        <v>254.22000000000003</v>
      </c>
      <c r="E98" s="26" t="str">
        <f>VLOOKUP(A98,[4]扣税计算!$A$3:$R$268,15,0)</f>
        <v>3202160601010638770</v>
      </c>
      <c r="F98" s="27" t="str">
        <f>VLOOKUP(A98,[4]扣税计算!$A$3:$S$241,19,0)&amp;IF(VLOOKUP(A98,[4]扣税计算!$A$3:$S$241,18,0)=0,"","补"&amp;VLOOKUP(A98,[4]扣税计算!$A$3:$S$241,18,0))</f>
        <v/>
      </c>
    </row>
    <row r="99" spans="1:6" ht="13.5">
      <c r="A99" s="22" t="s">
        <v>53</v>
      </c>
      <c r="B99" s="23" t="str">
        <f>VLOOKUP(A99,[3]bmgzxx!$D$5:$AL$300,2,0)</f>
        <v>刘 攀</v>
      </c>
      <c r="C99" s="24">
        <f>VLOOKUP(A99,[4]扣税计算!$A$3:$P$241,11,0)</f>
        <v>1950</v>
      </c>
      <c r="D99" s="25">
        <f>VLOOKUP(A99,[4]扣税计算!$A$3:$P$241,14,0)</f>
        <v>44.06</v>
      </c>
      <c r="E99" s="26" t="str">
        <f>VLOOKUP(A99,[4]扣税计算!$A$3:$R$268,15,0)</f>
        <v>3202160601062235197</v>
      </c>
      <c r="F99" s="27" t="str">
        <f>VLOOKUP(A99,[4]扣税计算!$A$3:$S$241,19,0)&amp;IF(VLOOKUP(A99,[4]扣税计算!$A$3:$S$241,18,0)=0,"","补"&amp;VLOOKUP(A99,[4]扣税计算!$A$3:$S$241,18,0))</f>
        <v>青年学者</v>
      </c>
    </row>
    <row r="100" spans="1:6" ht="13.5">
      <c r="A100" s="22" t="s">
        <v>261</v>
      </c>
      <c r="B100" s="23" t="str">
        <f>VLOOKUP(A100,[3]bmgzxx!$D$5:$AL$300,2,0)</f>
        <v>DavidRhe</v>
      </c>
      <c r="C100" s="24">
        <f>VLOOKUP(A100,[4]扣税计算!$A$3:$P$241,11,0)</f>
        <v>2000</v>
      </c>
      <c r="D100" s="25">
        <f>VLOOKUP(A100,[4]扣税计算!$A$3:$P$241,14,0)</f>
        <v>12.15</v>
      </c>
      <c r="E100" s="26" t="str">
        <f>VLOOKUP(A100,[4]扣税计算!$A$3:$R$268,15,0)</f>
        <v>6222023202043535896</v>
      </c>
      <c r="F100" s="27" t="str">
        <f>VLOOKUP(A100,[4]扣税计算!$A$3:$S$241,19,0)&amp;IF(VLOOKUP(A100,[4]扣税计算!$A$3:$S$241,18,0)=0,"","补"&amp;VLOOKUP(A100,[4]扣税计算!$A$3:$S$241,18,0))</f>
        <v/>
      </c>
    </row>
    <row r="101" spans="1:6" ht="13.5">
      <c r="A101" s="22" t="s">
        <v>63</v>
      </c>
      <c r="B101" s="23" t="str">
        <f>VLOOKUP(A101,[3]bmgzxx!$D$5:$AL$300,2,0)</f>
        <v>陈 华</v>
      </c>
      <c r="C101" s="24">
        <f>VLOOKUP(A101,[4]扣税计算!$A$3:$P$241,11,0)</f>
        <v>1950</v>
      </c>
      <c r="D101" s="25">
        <f>VLOOKUP(A101,[4]扣税计算!$A$3:$P$241,14,0)</f>
        <v>43.46</v>
      </c>
      <c r="E101" s="26" t="str">
        <f>VLOOKUP(A101,[4]扣税计算!$A$3:$R$268,15,0)</f>
        <v>3202160601063196362</v>
      </c>
      <c r="F101" s="27" t="str">
        <f>VLOOKUP(A101,[4]扣税计算!$A$3:$S$241,19,0)&amp;IF(VLOOKUP(A101,[4]扣税计算!$A$3:$S$241,18,0)=0,"","补"&amp;VLOOKUP(A101,[4]扣税计算!$A$3:$S$241,18,0))</f>
        <v/>
      </c>
    </row>
    <row r="102" spans="1:6" ht="13.5">
      <c r="A102" s="22" t="s">
        <v>89</v>
      </c>
      <c r="B102" s="23" t="str">
        <f>VLOOKUP(A102,[3]bmgzxx!$D$5:$AL$300,2,0)</f>
        <v>段亚辉</v>
      </c>
      <c r="C102" s="24">
        <f>VLOOKUP(A102,[4]扣税计算!$A$3:$P$241,11,0)</f>
        <v>4150</v>
      </c>
      <c r="D102" s="25">
        <f>VLOOKUP(A102,[4]扣税计算!$A$3:$P$241,14,0)</f>
        <v>467.99</v>
      </c>
      <c r="E102" s="26" t="str">
        <f>VLOOKUP(A102,[4]扣税计算!$A$3:$R$268,15,0)</f>
        <v>3202160601010436344</v>
      </c>
      <c r="F102" s="27" t="str">
        <f>VLOOKUP(A102,[4]扣税计算!$A$3:$S$241,19,0)&amp;IF(VLOOKUP(A102,[4]扣税计算!$A$3:$S$241,18,0)=0,"","补"&amp;VLOOKUP(A102,[4]扣税计算!$A$3:$S$241,18,0))</f>
        <v/>
      </c>
    </row>
    <row r="103" spans="1:6" ht="13.5">
      <c r="A103" s="22" t="s">
        <v>149</v>
      </c>
      <c r="B103" s="23" t="str">
        <f>VLOOKUP(A103,[3]bmgzxx!$D$5:$AL$300,2,0)</f>
        <v>陈胜宏</v>
      </c>
      <c r="C103" s="24">
        <f>VLOOKUP(A103,[4]扣税计算!$A$3:$P$241,11,0)</f>
        <v>4950</v>
      </c>
      <c r="D103" s="25">
        <f>VLOOKUP(A103,[4]扣税计算!$A$3:$P$241,14,0)</f>
        <v>699.86</v>
      </c>
      <c r="E103" s="26" t="str">
        <f>VLOOKUP(A103,[4]扣税计算!$A$3:$R$268,15,0)</f>
        <v>3202160601010436619</v>
      </c>
      <c r="F103" s="27" t="str">
        <f>VLOOKUP(A103,[4]扣税计算!$A$3:$S$241,19,0)&amp;IF(VLOOKUP(A103,[4]扣税计算!$A$3:$S$241,18,0)=0,"","补"&amp;VLOOKUP(A103,[4]扣税计算!$A$3:$S$241,18,0))</f>
        <v/>
      </c>
    </row>
    <row r="104" spans="1:6" ht="13.5">
      <c r="A104" s="22" t="s">
        <v>85</v>
      </c>
      <c r="B104" s="23" t="str">
        <f>VLOOKUP(A104,[3]bmgzxx!$D$5:$AL$300,2,0)</f>
        <v>何 吉</v>
      </c>
      <c r="C104" s="24">
        <f>VLOOKUP(A104,[4]扣税计算!$A$3:$P$241,11,0)</f>
        <v>1580</v>
      </c>
      <c r="D104" s="25">
        <f>VLOOKUP(A104,[4]扣税计算!$A$3:$P$241,14,0)</f>
        <v>15.16</v>
      </c>
      <c r="E104" s="26" t="str">
        <f>VLOOKUP(A104,[4]扣税计算!$A$3:$R$268,15,0)</f>
        <v>3202160601064738790</v>
      </c>
      <c r="F104" s="27" t="str">
        <f>VLOOKUP(A104,[4]扣税计算!$A$3:$S$241,19,0)&amp;IF(VLOOKUP(A104,[4]扣税计算!$A$3:$S$241,18,0)=0,"","补"&amp;VLOOKUP(A104,[4]扣税计算!$A$3:$S$241,18,0))</f>
        <v/>
      </c>
    </row>
    <row r="105" spans="1:6" ht="13.5">
      <c r="A105" s="22" t="s">
        <v>257</v>
      </c>
      <c r="B105" s="23" t="str">
        <f>VLOOKUP(A105,[3]bmgzxx!$D$5:$AL$300,2,0)</f>
        <v>常晓林</v>
      </c>
      <c r="C105" s="24">
        <f>VLOOKUP(A105,[4]扣税计算!$A$3:$P$241,11,0)</f>
        <v>7450</v>
      </c>
      <c r="D105" s="25">
        <f>VLOOKUP(A105,[4]扣税计算!$A$3:$P$241,14,0)</f>
        <v>1177.25</v>
      </c>
      <c r="E105" s="26" t="str">
        <f>VLOOKUP(A105,[4]扣税计算!$A$3:$R$268,15,0)</f>
        <v>3202160601010436867</v>
      </c>
      <c r="F105" s="27" t="str">
        <f>VLOOKUP(A105,[4]扣税计算!$A$3:$S$241,19,0)&amp;IF(VLOOKUP(A105,[4]扣税计算!$A$3:$S$241,18,0)=0,"","补"&amp;VLOOKUP(A105,[4]扣税计算!$A$3:$S$241,18,0))</f>
        <v/>
      </c>
    </row>
    <row r="106" spans="1:6" ht="13.5">
      <c r="A106" s="22" t="s">
        <v>147</v>
      </c>
      <c r="B106" s="23" t="str">
        <f>VLOOKUP(A106,[3]bmgzxx!$D$5:$AL$300,2,0)</f>
        <v>何蕴龙</v>
      </c>
      <c r="C106" s="24">
        <f>VLOOKUP(A106,[4]扣税计算!$A$3:$P$241,11,0)</f>
        <v>3350</v>
      </c>
      <c r="D106" s="25">
        <f>VLOOKUP(A106,[4]扣税计算!$A$3:$P$241,14,0)</f>
        <v>281.43</v>
      </c>
      <c r="E106" s="26" t="str">
        <f>VLOOKUP(A106,[4]扣税计算!$A$3:$R$268,15,0)</f>
        <v>3202160601010622929</v>
      </c>
      <c r="F106" s="27" t="str">
        <f>VLOOKUP(A106,[4]扣税计算!$A$3:$S$241,19,0)&amp;IF(VLOOKUP(A106,[4]扣税计算!$A$3:$S$241,18,0)=0,"","补"&amp;VLOOKUP(A106,[4]扣税计算!$A$3:$S$241,18,0))</f>
        <v/>
      </c>
    </row>
    <row r="107" spans="1:6" ht="13.5">
      <c r="A107" s="22" t="s">
        <v>143</v>
      </c>
      <c r="B107" s="23" t="str">
        <f>VLOOKUP(A107,[3]bmgzxx!$D$5:$AL$300,2,0)</f>
        <v>赖国伟</v>
      </c>
      <c r="C107" s="24">
        <f>VLOOKUP(A107,[4]扣税计算!$A$3:$P$241,11,0)</f>
        <v>3350</v>
      </c>
      <c r="D107" s="25">
        <f>VLOOKUP(A107,[4]扣税计算!$A$3:$P$241,14,0)</f>
        <v>281.43</v>
      </c>
      <c r="E107" s="26" t="str">
        <f>VLOOKUP(A107,[4]扣税计算!$A$3:$R$268,15,0)</f>
        <v>3202160601010437095</v>
      </c>
      <c r="F107" s="27" t="str">
        <f>VLOOKUP(A107,[4]扣税计算!$A$3:$S$241,19,0)&amp;IF(VLOOKUP(A107,[4]扣税计算!$A$3:$S$241,18,0)=0,"","补"&amp;VLOOKUP(A107,[4]扣税计算!$A$3:$S$241,18,0))</f>
        <v/>
      </c>
    </row>
    <row r="108" spans="1:6" ht="13.5">
      <c r="A108" s="22" t="s">
        <v>145</v>
      </c>
      <c r="B108" s="23" t="str">
        <f>VLOOKUP(A108,[3]bmgzxx!$D$5:$AL$300,2,0)</f>
        <v>佘成学</v>
      </c>
      <c r="C108" s="24">
        <f>VLOOKUP(A108,[4]扣税计算!$A$3:$P$241,11,0)</f>
        <v>3350</v>
      </c>
      <c r="D108" s="25">
        <f>VLOOKUP(A108,[4]扣税计算!$A$3:$P$241,14,0)</f>
        <v>274.94</v>
      </c>
      <c r="E108" s="26" t="str">
        <f>VLOOKUP(A108,[4]扣税计算!$A$3:$R$268,15,0)</f>
        <v>3202160601010436991</v>
      </c>
      <c r="F108" s="27" t="str">
        <f>VLOOKUP(A108,[4]扣税计算!$A$3:$S$241,19,0)&amp;IF(VLOOKUP(A108,[4]扣税计算!$A$3:$S$241,18,0)=0,"","补"&amp;VLOOKUP(A108,[4]扣税计算!$A$3:$S$241,18,0))</f>
        <v/>
      </c>
    </row>
    <row r="109" spans="1:6" ht="13.5">
      <c r="A109" s="22" t="s">
        <v>150</v>
      </c>
      <c r="B109" s="23" t="str">
        <f>VLOOKUP(A109,[3]bmgzxx!$D$5:$AL$300,2,0)</f>
        <v>王均星</v>
      </c>
      <c r="C109" s="24">
        <f>VLOOKUP(A109,[4]扣税计算!$A$3:$P$241,11,0)</f>
        <v>3350</v>
      </c>
      <c r="D109" s="25">
        <f>VLOOKUP(A109,[4]扣税计算!$A$3:$P$241,14,0)</f>
        <v>272.87</v>
      </c>
      <c r="E109" s="26" t="str">
        <f>VLOOKUP(A109,[4]扣税计算!$A$3:$R$268,15,0)</f>
        <v>3202160601010436743</v>
      </c>
      <c r="F109" s="27" t="str">
        <f>VLOOKUP(A109,[4]扣税计算!$A$3:$S$241,19,0)&amp;IF(VLOOKUP(A109,[4]扣税计算!$A$3:$S$241,18,0)=0,"","补"&amp;VLOOKUP(A109,[4]扣税计算!$A$3:$S$241,18,0))</f>
        <v/>
      </c>
    </row>
    <row r="110" spans="1:6" ht="13.5">
      <c r="A110" s="22" t="s">
        <v>142</v>
      </c>
      <c r="B110" s="23" t="str">
        <f>VLOOKUP(A110,[3]bmgzxx!$D$5:$AL$300,2,0)</f>
        <v>李 民</v>
      </c>
      <c r="C110" s="24">
        <f>VLOOKUP(A110,[4]扣税计算!$A$3:$P$241,11,0)</f>
        <v>2300</v>
      </c>
      <c r="D110" s="25">
        <f>VLOOKUP(A110,[4]扣税计算!$A$3:$P$241,14,0)</f>
        <v>134.82000000000002</v>
      </c>
      <c r="E110" s="26" t="str">
        <f>VLOOKUP(A110,[4]扣税计算!$A$3:$R$268,15,0)</f>
        <v>3202160601010437122</v>
      </c>
      <c r="F110" s="27" t="str">
        <f>VLOOKUP(A110,[4]扣税计算!$A$3:$S$241,19,0)&amp;IF(VLOOKUP(A110,[4]扣税计算!$A$3:$S$241,18,0)=0,"","补"&amp;VLOOKUP(A110,[4]扣税计算!$A$3:$S$241,18,0))</f>
        <v/>
      </c>
    </row>
    <row r="111" spans="1:6" ht="13.5">
      <c r="A111" s="22" t="s">
        <v>141</v>
      </c>
      <c r="B111" s="23" t="str">
        <f>VLOOKUP(A111,[3]bmgzxx!$D$5:$AL$300,2,0)</f>
        <v>何金平</v>
      </c>
      <c r="C111" s="24">
        <f>VLOOKUP(A111,[4]扣税计算!$A$3:$P$241,11,0)</f>
        <v>3350</v>
      </c>
      <c r="D111" s="25">
        <f>VLOOKUP(A111,[4]扣税计算!$A$3:$P$241,14,0)</f>
        <v>263.75</v>
      </c>
      <c r="E111" s="26" t="str">
        <f>VLOOKUP(A111,[4]扣税计算!$A$3:$R$268,15,0)</f>
        <v>3202160601010437246</v>
      </c>
      <c r="F111" s="27" t="str">
        <f>VLOOKUP(A111,[4]扣税计算!$A$3:$S$241,19,0)&amp;IF(VLOOKUP(A111,[4]扣税计算!$A$3:$S$241,18,0)=0,"","补"&amp;VLOOKUP(A111,[4]扣税计算!$A$3:$S$241,18,0))</f>
        <v/>
      </c>
    </row>
    <row r="112" spans="1:6" ht="13.5">
      <c r="A112" s="22" t="s">
        <v>146</v>
      </c>
      <c r="B112" s="23" t="str">
        <f>VLOOKUP(A112,[3]bmgzxx!$D$5:$AL$300,2,0)</f>
        <v>费文才</v>
      </c>
      <c r="C112" s="24">
        <f>VLOOKUP(A112,[4]扣税计算!$A$3:$P$241,11,0)</f>
        <v>2100</v>
      </c>
      <c r="D112" s="25">
        <f>VLOOKUP(A112,[4]扣税计算!$A$3:$P$241,14,0)</f>
        <v>98.93</v>
      </c>
      <c r="E112" s="26" t="str">
        <f>VLOOKUP(A112,[4]扣税计算!$A$3:$R$268,15,0)</f>
        <v>3202160601010437494</v>
      </c>
      <c r="F112" s="27" t="str">
        <f>VLOOKUP(A112,[4]扣税计算!$A$3:$S$241,19,0)&amp;IF(VLOOKUP(A112,[4]扣税计算!$A$3:$S$241,18,0)=0,"","补"&amp;VLOOKUP(A112,[4]扣税计算!$A$3:$S$241,18,0))</f>
        <v/>
      </c>
    </row>
    <row r="113" spans="1:6" ht="13.5">
      <c r="A113" s="22" t="s">
        <v>140</v>
      </c>
      <c r="B113" s="23" t="str">
        <f>VLOOKUP(A113,[3]bmgzxx!$D$5:$AL$300,2,0)</f>
        <v>徐明毅</v>
      </c>
      <c r="C113" s="24">
        <f>VLOOKUP(A113,[4]扣税计算!$A$3:$P$241,11,0)</f>
        <v>1950</v>
      </c>
      <c r="D113" s="25">
        <f>VLOOKUP(A113,[4]扣税计算!$A$3:$P$241,14,0)</f>
        <v>54.09</v>
      </c>
      <c r="E113" s="26" t="str">
        <f>VLOOKUP(A113,[4]扣税计算!$A$3:$R$268,15,0)</f>
        <v>3202160601061094020</v>
      </c>
      <c r="F113" s="27" t="str">
        <f>VLOOKUP(A113,[4]扣税计算!$A$3:$S$241,19,0)&amp;IF(VLOOKUP(A113,[4]扣税计算!$A$3:$S$241,18,0)=0,"","补"&amp;VLOOKUP(A113,[4]扣税计算!$A$3:$S$241,18,0))</f>
        <v/>
      </c>
    </row>
    <row r="114" spans="1:6" ht="13.5">
      <c r="A114" s="22" t="s">
        <v>288</v>
      </c>
      <c r="B114" s="23" t="str">
        <f>VLOOKUP(A114,[3]bmgzxx!$D$5:$AL$300,2,0)</f>
        <v>周 伟</v>
      </c>
      <c r="C114" s="24">
        <f>VLOOKUP(A114,[4]扣税计算!$A$3:$P$241,11,0)</f>
        <v>6200</v>
      </c>
      <c r="D114" s="25">
        <f>VLOOKUP(A114,[4]扣税计算!$A$3:$P$241,14,0)</f>
        <v>747.5</v>
      </c>
      <c r="E114" s="26" t="str">
        <f>VLOOKUP(A114,[4]扣税计算!$A$3:$R$268,15,0)</f>
        <v>3202160601061671896</v>
      </c>
      <c r="F114" s="27" t="str">
        <f>VLOOKUP(A114,[4]扣税计算!$A$3:$S$241,19,0)&amp;IF(VLOOKUP(A114,[4]扣税计算!$A$3:$S$241,18,0)=0,"","补"&amp;VLOOKUP(A114,[4]扣税计算!$A$3:$S$241,18,0))</f>
        <v>珞珈青年</v>
      </c>
    </row>
    <row r="115" spans="1:6" ht="13.5">
      <c r="A115" s="22" t="s">
        <v>77</v>
      </c>
      <c r="B115" s="23" t="str">
        <f>VLOOKUP(A115,[3]bmgzxx!$D$5:$AL$300,2,0)</f>
        <v>程勇刚</v>
      </c>
      <c r="C115" s="24">
        <f>VLOOKUP(A115,[4]扣税计算!$A$3:$P$241,11,0)</f>
        <v>1600</v>
      </c>
      <c r="D115" s="25">
        <f>VLOOKUP(A115,[4]扣税计算!$A$3:$P$241,14,0)</f>
        <v>15.76</v>
      </c>
      <c r="E115" s="26" t="str">
        <f>VLOOKUP(A115,[4]扣税计算!$A$3:$R$268,15,0)</f>
        <v>3202160601064713821</v>
      </c>
      <c r="F115" s="27" t="str">
        <f>VLOOKUP(A115,[4]扣税计算!$A$3:$S$241,19,0)&amp;IF(VLOOKUP(A115,[4]扣税计算!$A$3:$S$241,18,0)=0,"","补"&amp;VLOOKUP(A115,[4]扣税计算!$A$3:$S$241,18,0))</f>
        <v/>
      </c>
    </row>
    <row r="116" spans="1:6" ht="13.5">
      <c r="A116" s="22" t="s">
        <v>156</v>
      </c>
      <c r="B116" s="23" t="str">
        <f>VLOOKUP(A116,[3]bmgzxx!$D$5:$AL$300,2,0)</f>
        <v>舒大强</v>
      </c>
      <c r="C116" s="24">
        <f>VLOOKUP(A116,[4]扣税计算!$A$3:$P$241,11,0)</f>
        <v>4150</v>
      </c>
      <c r="D116" s="25">
        <f>VLOOKUP(A116,[4]扣税计算!$A$3:$P$241,14,0)</f>
        <v>456.76</v>
      </c>
      <c r="E116" s="26" t="str">
        <f>VLOOKUP(A116,[4]扣税计算!$A$3:$R$268,15,0)</f>
        <v>3202160601010441864</v>
      </c>
      <c r="F116" s="27" t="str">
        <f>VLOOKUP(A116,[4]扣税计算!$A$3:$S$241,19,0)&amp;IF(VLOOKUP(A116,[4]扣税计算!$A$3:$S$241,18,0)=0,"","补"&amp;VLOOKUP(A116,[4]扣税计算!$A$3:$S$241,18,0))</f>
        <v/>
      </c>
    </row>
    <row r="117" spans="1:6" ht="13.5">
      <c r="A117" s="22" t="s">
        <v>162</v>
      </c>
      <c r="B117" s="23" t="str">
        <f>VLOOKUP(A117,[3]bmgzxx!$D$5:$AL$300,2,0)</f>
        <v>胡志根</v>
      </c>
      <c r="C117" s="24">
        <f>VLOOKUP(A117,[4]扣税计算!$A$3:$P$241,11,0)</f>
        <v>4150</v>
      </c>
      <c r="D117" s="25">
        <f>VLOOKUP(A117,[4]扣税计算!$A$3:$P$241,14,0)</f>
        <v>451.05</v>
      </c>
      <c r="E117" s="26" t="str">
        <f>VLOOKUP(A117,[4]扣税计算!$A$3:$R$268,15,0)</f>
        <v>3202160601010440838</v>
      </c>
      <c r="F117" s="27" t="str">
        <f>VLOOKUP(A117,[4]扣税计算!$A$3:$S$241,19,0)&amp;IF(VLOOKUP(A117,[4]扣税计算!$A$3:$S$241,18,0)=0,"","补"&amp;VLOOKUP(A117,[4]扣税计算!$A$3:$S$241,18,0))</f>
        <v/>
      </c>
    </row>
    <row r="118" spans="1:6" ht="13.5">
      <c r="A118" s="22" t="s">
        <v>159</v>
      </c>
      <c r="B118" s="23" t="str">
        <f>VLOOKUP(A118,[3]bmgzxx!$D$5:$AL$300,2,0)</f>
        <v>卢文波</v>
      </c>
      <c r="C118" s="24">
        <f>VLOOKUP(A118,[4]扣税计算!$A$3:$P$241,11,0)</f>
        <v>9900</v>
      </c>
      <c r="D118" s="25">
        <f>VLOOKUP(A118,[4]扣税计算!$A$3:$P$241,14,0)</f>
        <v>1741.8200000000002</v>
      </c>
      <c r="E118" s="26" t="str">
        <f>VLOOKUP(A118,[4]扣税计算!$A$3:$R$268,15,0)</f>
        <v>6222083202001647870</v>
      </c>
      <c r="F118" s="27" t="str">
        <f>VLOOKUP(A118,[4]扣税计算!$A$3:$S$241,19,0)&amp;IF(VLOOKUP(A118,[4]扣税计算!$A$3:$S$241,18,0)=0,"","补"&amp;VLOOKUP(A118,[4]扣税计算!$A$3:$S$241,18,0))</f>
        <v>珞珈特聘补1200</v>
      </c>
    </row>
    <row r="119" spans="1:6" ht="13.5">
      <c r="A119" s="22" t="s">
        <v>84</v>
      </c>
      <c r="B119" s="23" t="str">
        <f>VLOOKUP(A119,[3]bmgzxx!$D$5:$AL$300,2,0)</f>
        <v>严 鹏</v>
      </c>
      <c r="C119" s="24">
        <f>VLOOKUP(A119,[4]扣税计算!$A$3:$P$241,11,0)</f>
        <v>1950</v>
      </c>
      <c r="D119" s="25">
        <f>VLOOKUP(A119,[4]扣税计算!$A$3:$P$241,14,0)</f>
        <v>43.46</v>
      </c>
      <c r="E119" s="26" t="str">
        <f>VLOOKUP(A119,[4]扣税计算!$A$3:$R$268,15,0)</f>
        <v>3202160601064783837</v>
      </c>
      <c r="F119" s="27" t="str">
        <f>VLOOKUP(A119,[4]扣税计算!$A$3:$S$241,19,0)&amp;IF(VLOOKUP(A119,[4]扣税计算!$A$3:$S$241,18,0)=0,"","补"&amp;VLOOKUP(A119,[4]扣税计算!$A$3:$S$241,18,0))</f>
        <v/>
      </c>
    </row>
    <row r="120" spans="1:6" ht="13.5">
      <c r="A120" s="22" t="s">
        <v>154</v>
      </c>
      <c r="B120" s="23" t="str">
        <f>VLOOKUP(A120,[3]bmgzxx!$D$5:$AL$300,2,0)</f>
        <v>朱传云</v>
      </c>
      <c r="C120" s="24">
        <f>VLOOKUP(A120,[4]扣税计算!$A$3:$P$241,11,0)</f>
        <v>2300</v>
      </c>
      <c r="D120" s="25">
        <f>VLOOKUP(A120,[4]扣税计算!$A$3:$P$241,14,0)</f>
        <v>152.43</v>
      </c>
      <c r="E120" s="26" t="str">
        <f>VLOOKUP(A120,[4]扣税计算!$A$3:$R$268,15,0)</f>
        <v>3202160601010441589</v>
      </c>
      <c r="F120" s="27" t="str">
        <f>VLOOKUP(A120,[4]扣税计算!$A$3:$S$241,19,0)&amp;IF(VLOOKUP(A120,[4]扣税计算!$A$3:$S$241,18,0)=0,"","补"&amp;VLOOKUP(A120,[4]扣税计算!$A$3:$S$241,18,0))</f>
        <v/>
      </c>
    </row>
    <row r="121" spans="1:6" ht="13.5">
      <c r="A121" s="22" t="s">
        <v>157</v>
      </c>
      <c r="B121" s="23" t="str">
        <f>VLOOKUP(A121,[3]bmgzxx!$D$5:$AL$300,2,0)</f>
        <v>申明亮</v>
      </c>
      <c r="C121" s="24">
        <f>VLOOKUP(A121,[4]扣税计算!$A$3:$P$241,11,0)</f>
        <v>2300</v>
      </c>
      <c r="D121" s="25">
        <f>VLOOKUP(A121,[4]扣税计算!$A$3:$P$241,14,0)</f>
        <v>136.88999999999999</v>
      </c>
      <c r="E121" s="26" t="str">
        <f>VLOOKUP(A121,[4]扣税计算!$A$3:$R$268,15,0)</f>
        <v>3202160601010626537</v>
      </c>
      <c r="F121" s="27" t="str">
        <f>VLOOKUP(A121,[4]扣税计算!$A$3:$S$241,19,0)&amp;IF(VLOOKUP(A121,[4]扣税计算!$A$3:$S$241,18,0)=0,"","补"&amp;VLOOKUP(A121,[4]扣税计算!$A$3:$S$241,18,0))</f>
        <v/>
      </c>
    </row>
    <row r="122" spans="1:6" ht="13.5">
      <c r="A122" s="22" t="s">
        <v>158</v>
      </c>
      <c r="B122" s="23" t="str">
        <f>VLOOKUP(A122,[3]bmgzxx!$D$5:$AL$300,2,0)</f>
        <v>吴益明</v>
      </c>
      <c r="C122" s="24">
        <f>VLOOKUP(A122,[4]扣税计算!$A$3:$P$241,11,0)</f>
        <v>2100</v>
      </c>
      <c r="D122" s="25">
        <f>VLOOKUP(A122,[4]扣税计算!$A$3:$P$241,14,0)</f>
        <v>98.93</v>
      </c>
      <c r="E122" s="26" t="str">
        <f>VLOOKUP(A122,[4]扣税计算!$A$3:$R$268,15,0)</f>
        <v>6222023202050056679</v>
      </c>
      <c r="F122" s="27" t="str">
        <f>VLOOKUP(A122,[4]扣税计算!$A$3:$S$241,19,0)&amp;IF(VLOOKUP(A122,[4]扣税计算!$A$3:$S$241,18,0)=0,"","补"&amp;VLOOKUP(A122,[4]扣税计算!$A$3:$S$241,18,0))</f>
        <v/>
      </c>
    </row>
    <row r="123" spans="1:6" ht="13.5">
      <c r="A123" s="22" t="s">
        <v>153</v>
      </c>
      <c r="B123" s="23" t="str">
        <f>VLOOKUP(A123,[3]bmgzxx!$D$5:$AL$300,2,0)</f>
        <v>贺昌海</v>
      </c>
      <c r="C123" s="24">
        <f>VLOOKUP(A123,[4]扣税计算!$A$3:$P$241,11,0)</f>
        <v>3350</v>
      </c>
      <c r="D123" s="25">
        <f>VLOOKUP(A123,[4]扣税计算!$A$3:$P$241,14,0)</f>
        <v>263.75</v>
      </c>
      <c r="E123" s="26" t="str">
        <f>VLOOKUP(A123,[4]扣税计算!$A$3:$R$268,15,0)</f>
        <v>3202160601010442243</v>
      </c>
      <c r="F123" s="27" t="str">
        <f>VLOOKUP(A123,[4]扣税计算!$A$3:$S$241,19,0)&amp;IF(VLOOKUP(A123,[4]扣税计算!$A$3:$S$241,18,0)=0,"","补"&amp;VLOOKUP(A123,[4]扣税计算!$A$3:$S$241,18,0))</f>
        <v/>
      </c>
    </row>
    <row r="124" spans="1:6" ht="13.5">
      <c r="A124" s="22" t="s">
        <v>160</v>
      </c>
      <c r="B124" s="23" t="str">
        <f>VLOOKUP(A124,[3]bmgzxx!$D$5:$AL$300,2,0)</f>
        <v>杨 磊</v>
      </c>
      <c r="C124" s="24">
        <f>VLOOKUP(A124,[4]扣税计算!$A$3:$P$241,11,0)</f>
        <v>1950</v>
      </c>
      <c r="D124" s="25">
        <f>VLOOKUP(A124,[4]扣税计算!$A$3:$P$241,14,0)</f>
        <v>47.87</v>
      </c>
      <c r="E124" s="26" t="str">
        <f>VLOOKUP(A124,[4]扣税计算!$A$3:$R$268,15,0)</f>
        <v>3202160601010616108</v>
      </c>
      <c r="F124" s="27" t="str">
        <f>VLOOKUP(A124,[4]扣税计算!$A$3:$S$241,19,0)&amp;IF(VLOOKUP(A124,[4]扣税计算!$A$3:$S$241,18,0)=0,"","补"&amp;VLOOKUP(A124,[4]扣税计算!$A$3:$S$241,18,0))</f>
        <v/>
      </c>
    </row>
    <row r="125" spans="1:6" ht="13.5">
      <c r="A125" s="22" t="s">
        <v>152</v>
      </c>
      <c r="B125" s="23" t="str">
        <f>VLOOKUP(A125,[3]bmgzxx!$D$5:$AL$300,2,0)</f>
        <v>肖 宜</v>
      </c>
      <c r="C125" s="24">
        <f>VLOOKUP(A125,[4]扣税计算!$A$3:$P$241,11,0)</f>
        <v>1950</v>
      </c>
      <c r="D125" s="25">
        <f>VLOOKUP(A125,[4]扣税计算!$A$3:$P$241,14,0)</f>
        <v>49.87</v>
      </c>
      <c r="E125" s="26" t="str">
        <f>VLOOKUP(A125,[4]扣税计算!$A$3:$R$268,15,0)</f>
        <v>3202160601010704833</v>
      </c>
      <c r="F125" s="27" t="str">
        <f>VLOOKUP(A125,[4]扣税计算!$A$3:$S$241,19,0)&amp;IF(VLOOKUP(A125,[4]扣税计算!$A$3:$S$241,18,0)=0,"","补"&amp;VLOOKUP(A125,[4]扣税计算!$A$3:$S$241,18,0))</f>
        <v/>
      </c>
    </row>
    <row r="126" spans="1:6" ht="13.5">
      <c r="A126" s="22" t="s">
        <v>44</v>
      </c>
      <c r="B126" s="23" t="str">
        <f>VLOOKUP(A126,[3]bmgzxx!$D$5:$AL$300,2,0)</f>
        <v>刘 全</v>
      </c>
      <c r="C126" s="24">
        <f>VLOOKUP(A126,[4]扣税计算!$A$3:$P$241,11,0)</f>
        <v>1950</v>
      </c>
      <c r="D126" s="25">
        <f>VLOOKUP(A126,[4]扣税计算!$A$3:$P$241,14,0)</f>
        <v>0</v>
      </c>
      <c r="E126" s="26" t="str">
        <f>VLOOKUP(A126,[4]扣税计算!$A$3:$R$268,15,0)</f>
        <v>3202160601060798845</v>
      </c>
      <c r="F126" s="27" t="str">
        <f>VLOOKUP(A126,[4]扣税计算!$A$3:$S$241,19,0)&amp;IF(VLOOKUP(A126,[4]扣税计算!$A$3:$S$241,18,0)=0,"","补"&amp;VLOOKUP(A126,[4]扣税计算!$A$3:$S$241,18,0))</f>
        <v/>
      </c>
    </row>
    <row r="127" spans="1:6" ht="13.5">
      <c r="A127" s="22" t="s">
        <v>49</v>
      </c>
      <c r="B127" s="23" t="str">
        <f>VLOOKUP(A127,[3]bmgzxx!$D$5:$AL$300,2,0)</f>
        <v>曹生荣</v>
      </c>
      <c r="C127" s="24">
        <f>VLOOKUP(A127,[4]扣税计算!$A$3:$P$241,11,0)</f>
        <v>1950</v>
      </c>
      <c r="D127" s="25">
        <f>VLOOKUP(A127,[4]扣税计算!$A$3:$P$241,14,0)</f>
        <v>44.06</v>
      </c>
      <c r="E127" s="26" t="str">
        <f>VLOOKUP(A127,[4]扣税计算!$A$3:$R$268,15,0)</f>
        <v>3202160601061671923</v>
      </c>
      <c r="F127" s="27" t="str">
        <f>VLOOKUP(A127,[4]扣税计算!$A$3:$S$241,19,0)&amp;IF(VLOOKUP(A127,[4]扣税计算!$A$3:$S$241,18,0)=0,"","补"&amp;VLOOKUP(A127,[4]扣税计算!$A$3:$S$241,18,0))</f>
        <v/>
      </c>
    </row>
    <row r="128" spans="1:6" ht="13.5">
      <c r="A128" s="22" t="s">
        <v>61</v>
      </c>
      <c r="B128" s="23" t="str">
        <f>VLOOKUP(A128,[3]bmgzxx!$D$5:$AL$300,2,0)</f>
        <v>陈 明</v>
      </c>
      <c r="C128" s="24">
        <f>VLOOKUP(A128,[4]扣税计算!$A$3:$P$241,11,0)</f>
        <v>1950</v>
      </c>
      <c r="D128" s="25">
        <f>VLOOKUP(A128,[4]扣税计算!$A$3:$P$241,14,0)</f>
        <v>43.46</v>
      </c>
      <c r="E128" s="26" t="str">
        <f>VLOOKUP(A128,[4]扣税计算!$A$3:$R$268,15,0)</f>
        <v>3202160601063196114</v>
      </c>
      <c r="F128" s="27" t="str">
        <f>VLOOKUP(A128,[4]扣税计算!$A$3:$S$241,19,0)&amp;IF(VLOOKUP(A128,[4]扣税计算!$A$3:$S$241,18,0)=0,"","补"&amp;VLOOKUP(A128,[4]扣税计算!$A$3:$S$241,18,0))</f>
        <v/>
      </c>
    </row>
    <row r="129" spans="1:6" ht="13.5">
      <c r="A129" s="22" t="s">
        <v>109</v>
      </c>
      <c r="B129" s="23" t="str">
        <f>VLOOKUP(A129,[3]bmgzxx!$D$5:$AL$300,2,0)</f>
        <v>杨建东</v>
      </c>
      <c r="C129" s="24">
        <f>VLOOKUP(A129,[4]扣税计算!$A$3:$P$241,11,0)</f>
        <v>4950</v>
      </c>
      <c r="D129" s="25">
        <f>VLOOKUP(A129,[4]扣税计算!$A$3:$P$241,14,0)</f>
        <v>696.11</v>
      </c>
      <c r="E129" s="26" t="str">
        <f>VLOOKUP(A129,[4]扣税计算!$A$3:$R$268,15,0)</f>
        <v>3202160601010438946</v>
      </c>
      <c r="F129" s="27" t="str">
        <f>VLOOKUP(A129,[4]扣税计算!$A$3:$S$241,19,0)&amp;IF(VLOOKUP(A129,[4]扣税计算!$A$3:$S$241,18,0)=0,"","补"&amp;VLOOKUP(A129,[4]扣税计算!$A$3:$S$241,18,0))</f>
        <v/>
      </c>
    </row>
    <row r="130" spans="1:6" ht="13.5">
      <c r="A130" s="22" t="s">
        <v>110</v>
      </c>
      <c r="B130" s="23" t="str">
        <f>VLOOKUP(A130,[3]bmgzxx!$D$5:$AL$300,2,0)</f>
        <v>肖 明SD</v>
      </c>
      <c r="C130" s="24">
        <f>VLOOKUP(A130,[4]扣税计算!$A$3:$P$241,11,0)</f>
        <v>4950</v>
      </c>
      <c r="D130" s="25">
        <f>VLOOKUP(A130,[4]扣税计算!$A$3:$P$241,14,0)</f>
        <v>688.49</v>
      </c>
      <c r="E130" s="26" t="str">
        <f>VLOOKUP(A130,[4]扣税计算!$A$3:$R$268,15,0)</f>
        <v>3202160601010438795</v>
      </c>
      <c r="F130" s="27" t="str">
        <f>VLOOKUP(A130,[4]扣税计算!$A$3:$S$241,19,0)&amp;IF(VLOOKUP(A130,[4]扣税计算!$A$3:$S$241,18,0)=0,"","补"&amp;VLOOKUP(A130,[4]扣税计算!$A$3:$S$241,18,0))</f>
        <v/>
      </c>
    </row>
    <row r="131" spans="1:6" ht="13.5">
      <c r="A131" s="22" t="s">
        <v>108</v>
      </c>
      <c r="B131" s="23" t="str">
        <f>VLOOKUP(A131,[3]bmgzxx!$D$5:$AL$300,2,0)</f>
        <v>伍鹤皋</v>
      </c>
      <c r="C131" s="24">
        <f>VLOOKUP(A131,[4]扣税计算!$A$3:$P$241,11,0)</f>
        <v>4150</v>
      </c>
      <c r="D131" s="25">
        <f>VLOOKUP(A131,[4]扣税计算!$A$3:$P$241,14,0)</f>
        <v>451.05</v>
      </c>
      <c r="E131" s="26" t="str">
        <f>VLOOKUP(A131,[4]扣税计算!$A$3:$R$268,15,0)</f>
        <v>3202160601010438822</v>
      </c>
      <c r="F131" s="27" t="str">
        <f>VLOOKUP(A131,[4]扣税计算!$A$3:$S$241,19,0)&amp;IF(VLOOKUP(A131,[4]扣税计算!$A$3:$S$241,18,0)=0,"","补"&amp;VLOOKUP(A131,[4]扣税计算!$A$3:$S$241,18,0))</f>
        <v/>
      </c>
    </row>
    <row r="132" spans="1:6" ht="13.5">
      <c r="A132" s="22" t="s">
        <v>269</v>
      </c>
      <c r="B132" s="23" t="str">
        <f>VLOOKUP(A132,[3]bmgzxx!$D$5:$AL$300,2,0)</f>
        <v>石长征</v>
      </c>
      <c r="C132" s="24">
        <f>VLOOKUP(A132,[4]扣税计算!$A$3:$P$241,11,0)</f>
        <v>1600</v>
      </c>
      <c r="D132" s="25">
        <f>VLOOKUP(A132,[4]扣税计算!$A$3:$P$241,14,0)</f>
        <v>39.75</v>
      </c>
      <c r="E132" s="26" t="str">
        <f>VLOOKUP(A132,[4]扣税计算!$A$3:$R$268,15,0)</f>
        <v>6222023202047054126</v>
      </c>
      <c r="F132" s="27" t="str">
        <f>VLOOKUP(A132,[4]扣税计算!$A$3:$S$241,19,0)&amp;IF(VLOOKUP(A132,[4]扣税计算!$A$3:$S$241,18,0)=0,"","补"&amp;VLOOKUP(A132,[4]扣税计算!$A$3:$S$241,18,0))</f>
        <v/>
      </c>
    </row>
    <row r="133" spans="1:6" ht="13.5">
      <c r="A133" s="22" t="s">
        <v>111</v>
      </c>
      <c r="B133" s="23" t="str">
        <f>VLOOKUP(A133,[3]bmgzxx!$D$5:$AL$300,2,0)</f>
        <v>赖 旭</v>
      </c>
      <c r="C133" s="24">
        <f>VLOOKUP(A133,[4]扣税计算!$A$3:$P$241,11,0)</f>
        <v>3350</v>
      </c>
      <c r="D133" s="25">
        <f>VLOOKUP(A133,[4]扣税计算!$A$3:$P$241,14,0)</f>
        <v>272.87</v>
      </c>
      <c r="E133" s="26" t="str">
        <f>VLOOKUP(A133,[4]扣税计算!$A$3:$R$268,15,0)</f>
        <v>3202160601010439325</v>
      </c>
      <c r="F133" s="27" t="str">
        <f>VLOOKUP(A133,[4]扣税计算!$A$3:$S$241,19,0)&amp;IF(VLOOKUP(A133,[4]扣税计算!$A$3:$S$241,18,0)=0,"","补"&amp;VLOOKUP(A133,[4]扣税计算!$A$3:$S$241,18,0))</f>
        <v/>
      </c>
    </row>
    <row r="134" spans="1:6" ht="13.5">
      <c r="A134" s="22" t="s">
        <v>107</v>
      </c>
      <c r="B134" s="23" t="str">
        <f>VLOOKUP(A134,[3]bmgzxx!$D$5:$AL$300,2,0)</f>
        <v>雷 艳</v>
      </c>
      <c r="C134" s="24">
        <f>VLOOKUP(A134,[4]扣税计算!$A$3:$P$241,11,0)</f>
        <v>2100</v>
      </c>
      <c r="D134" s="25">
        <f>VLOOKUP(A134,[4]扣税计算!$A$3:$P$241,14,0)</f>
        <v>100.93</v>
      </c>
      <c r="E134" s="26" t="str">
        <f>VLOOKUP(A134,[4]扣税计算!$A$3:$R$268,15,0)</f>
        <v>3202160601010439201</v>
      </c>
      <c r="F134" s="27" t="str">
        <f>VLOOKUP(A134,[4]扣税计算!$A$3:$S$241,19,0)&amp;IF(VLOOKUP(A134,[4]扣税计算!$A$3:$S$241,18,0)=0,"","补"&amp;VLOOKUP(A134,[4]扣税计算!$A$3:$S$241,18,0))</f>
        <v/>
      </c>
    </row>
    <row r="135" spans="1:6" ht="13.5">
      <c r="A135" s="22" t="s">
        <v>112</v>
      </c>
      <c r="B135" s="23" t="str">
        <f>VLOOKUP(A135,[3]bmgzxx!$D$5:$AL$300,2,0)</f>
        <v>程永光</v>
      </c>
      <c r="C135" s="24">
        <f>VLOOKUP(A135,[4]扣税计算!$A$3:$P$241,11,0)</f>
        <v>3350</v>
      </c>
      <c r="D135" s="25">
        <f>VLOOKUP(A135,[4]扣税计算!$A$3:$P$241,14,0)</f>
        <v>260.44</v>
      </c>
      <c r="E135" s="26" t="str">
        <f>VLOOKUP(A135,[4]扣税计算!$A$3:$R$268,15,0)</f>
        <v>3202160601010439449</v>
      </c>
      <c r="F135" s="27" t="str">
        <f>VLOOKUP(A135,[4]扣税计算!$A$3:$S$241,19,0)&amp;IF(VLOOKUP(A135,[4]扣税计算!$A$3:$S$241,18,0)=0,"","补"&amp;VLOOKUP(A135,[4]扣税计算!$A$3:$S$241,18,0))</f>
        <v/>
      </c>
    </row>
    <row r="136" spans="1:6" ht="13.5">
      <c r="A136" s="22" t="s">
        <v>113</v>
      </c>
      <c r="B136" s="23" t="str">
        <f>VLOOKUP(A136,[3]bmgzxx!$D$5:$AL$300,2,0)</f>
        <v>李进平</v>
      </c>
      <c r="C136" s="24">
        <f>VLOOKUP(A136,[4]扣税计算!$A$3:$P$241,11,0)</f>
        <v>1950</v>
      </c>
      <c r="D136" s="25">
        <f>VLOOKUP(A136,[4]扣税计算!$A$3:$P$241,14,0)</f>
        <v>45.8</v>
      </c>
      <c r="E136" s="26" t="str">
        <f>VLOOKUP(A136,[4]扣税计算!$A$3:$R$268,15,0)</f>
        <v>3202160601010861874</v>
      </c>
      <c r="F136" s="27" t="str">
        <f>VLOOKUP(A136,[4]扣税计算!$A$3:$S$241,19,0)&amp;IF(VLOOKUP(A136,[4]扣税计算!$A$3:$S$241,18,0)=0,"","补"&amp;VLOOKUP(A136,[4]扣税计算!$A$3:$S$241,18,0))</f>
        <v/>
      </c>
    </row>
    <row r="137" spans="1:6" ht="13.5">
      <c r="A137" s="22" t="s">
        <v>58</v>
      </c>
      <c r="B137" s="23" t="str">
        <f>VLOOKUP(A137,[3]bmgzxx!$D$5:$AL$300,2,0)</f>
        <v>陈俊涛</v>
      </c>
      <c r="C137" s="24">
        <f>VLOOKUP(A137,[4]扣税计算!$A$3:$P$241,11,0)</f>
        <v>1430</v>
      </c>
      <c r="D137" s="25">
        <f>VLOOKUP(A137,[4]扣税计算!$A$3:$P$241,14,0)</f>
        <v>17.149999999999999</v>
      </c>
      <c r="E137" s="26" t="str">
        <f>VLOOKUP(A137,[4]扣税计算!$A$3:$R$268,15,0)</f>
        <v>3202160601062327433</v>
      </c>
      <c r="F137" s="27" t="str">
        <f>VLOOKUP(A137,[4]扣税计算!$A$3:$S$241,19,0)&amp;IF(VLOOKUP(A137,[4]扣税计算!$A$3:$S$241,18,0)=0,"","补"&amp;VLOOKUP(A137,[4]扣税计算!$A$3:$S$241,18,0))</f>
        <v>李典庆珞珈特聘</v>
      </c>
    </row>
    <row r="138" spans="1:6" ht="13.5">
      <c r="A138" s="22" t="s">
        <v>62</v>
      </c>
      <c r="B138" s="23" t="str">
        <f>VLOOKUP(A138,[3]bmgzxx!$D$5:$AL$300,2,0)</f>
        <v>苏 凯</v>
      </c>
      <c r="C138" s="24">
        <f>VLOOKUP(A138,[4]扣税计算!$A$3:$P$241,11,0)</f>
        <v>1950</v>
      </c>
      <c r="D138" s="25">
        <f>VLOOKUP(A138,[4]扣税计算!$A$3:$P$241,14,0)</f>
        <v>43.46</v>
      </c>
      <c r="E138" s="26" t="str">
        <f>VLOOKUP(A138,[4]扣税计算!$A$3:$R$268,15,0)</f>
        <v>3202160601063211966</v>
      </c>
      <c r="F138" s="27" t="str">
        <f>VLOOKUP(A138,[4]扣税计算!$A$3:$S$241,19,0)&amp;IF(VLOOKUP(A138,[4]扣税计算!$A$3:$S$241,18,0)=0,"","补"&amp;VLOOKUP(A138,[4]扣税计算!$A$3:$S$241,18,0))</f>
        <v/>
      </c>
    </row>
    <row r="139" spans="1:6" ht="13.5">
      <c r="A139" s="22" t="s">
        <v>136</v>
      </c>
      <c r="B139" s="23" t="str">
        <f>VLOOKUP(A139,[3]bmgzxx!$D$5:$AL$300,2,0)</f>
        <v>何 真</v>
      </c>
      <c r="C139" s="24">
        <f>VLOOKUP(A139,[4]扣税计算!$A$3:$P$241,11,0)</f>
        <v>3350</v>
      </c>
      <c r="D139" s="25">
        <f>VLOOKUP(A139,[4]扣税计算!$A$3:$P$241,14,0)</f>
        <v>278.41000000000003</v>
      </c>
      <c r="E139" s="26" t="str">
        <f>VLOOKUP(A139,[4]扣税计算!$A$3:$R$268,15,0)</f>
        <v>3202160601010444446</v>
      </c>
      <c r="F139" s="27" t="str">
        <f>VLOOKUP(A139,[4]扣税计算!$A$3:$S$241,19,0)&amp;IF(VLOOKUP(A139,[4]扣税计算!$A$3:$S$241,18,0)=0,"","补"&amp;VLOOKUP(A139,[4]扣税计算!$A$3:$S$241,18,0))</f>
        <v/>
      </c>
    </row>
    <row r="140" spans="1:6" ht="13.5">
      <c r="A140" s="22" t="s">
        <v>271</v>
      </c>
      <c r="B140" s="23" t="str">
        <f>VLOOKUP(A140,[3]bmgzxx!$D$5:$AL$300,2,0)</f>
        <v>蔡新华</v>
      </c>
      <c r="C140" s="24">
        <f>VLOOKUP(A140,[4]扣税计算!$A$3:$P$241,11,0)</f>
        <v>1580</v>
      </c>
      <c r="D140" s="25">
        <f>VLOOKUP(A140,[4]扣税计算!$A$3:$P$241,14,0)</f>
        <v>15.16</v>
      </c>
      <c r="E140" s="26" t="str">
        <f>VLOOKUP(A140,[4]扣税计算!$A$3:$R$268,15,0)</f>
        <v>6222023202047636286</v>
      </c>
      <c r="F140" s="27" t="str">
        <f>VLOOKUP(A140,[4]扣税计算!$A$3:$S$241,19,0)&amp;IF(VLOOKUP(A140,[4]扣税计算!$A$3:$S$241,18,0)=0,"","补"&amp;VLOOKUP(A140,[4]扣税计算!$A$3:$S$241,18,0))</f>
        <v/>
      </c>
    </row>
    <row r="141" spans="1:6" ht="13.5">
      <c r="A141" s="22" t="s">
        <v>90</v>
      </c>
      <c r="B141" s="23" t="str">
        <f>VLOOKUP(A141,[3]bmgzxx!$D$5:$AL$300,2,0)</f>
        <v>梁文泉</v>
      </c>
      <c r="C141" s="24">
        <f>VLOOKUP(A141,[4]扣税计算!$A$3:$P$241,11,0)</f>
        <v>2300</v>
      </c>
      <c r="D141" s="25">
        <f>VLOOKUP(A141,[4]扣税计算!$A$3:$P$241,14,0)</f>
        <v>136.88999999999999</v>
      </c>
      <c r="E141" s="26" t="str">
        <f>VLOOKUP(A141,[4]扣税计算!$A$3:$R$268,15,0)</f>
        <v>3202160601010632560</v>
      </c>
      <c r="F141" s="27" t="str">
        <f>VLOOKUP(A141,[4]扣税计算!$A$3:$S$241,19,0)&amp;IF(VLOOKUP(A141,[4]扣税计算!$A$3:$S$241,18,0)=0,"","补"&amp;VLOOKUP(A141,[4]扣税计算!$A$3:$S$241,18,0))</f>
        <v/>
      </c>
    </row>
    <row r="142" spans="1:6" ht="13.5">
      <c r="A142" s="22" t="s">
        <v>134</v>
      </c>
      <c r="B142" s="23" t="str">
        <f>VLOOKUP(A142,[3]bmgzxx!$D$5:$AL$300,2,0)</f>
        <v>曾 力</v>
      </c>
      <c r="C142" s="24">
        <f>VLOOKUP(A142,[4]扣税计算!$A$3:$P$241,11,0)</f>
        <v>2300</v>
      </c>
      <c r="D142" s="25">
        <f>VLOOKUP(A142,[4]扣税计算!$A$3:$P$241,14,0)</f>
        <v>133.01</v>
      </c>
      <c r="E142" s="26" t="str">
        <f>VLOOKUP(A142,[4]扣税计算!$A$3:$R$268,15,0)</f>
        <v>3202160601010444721</v>
      </c>
      <c r="F142" s="27" t="str">
        <f>VLOOKUP(A142,[4]扣税计算!$A$3:$S$241,19,0)&amp;IF(VLOOKUP(A142,[4]扣税计算!$A$3:$S$241,18,0)=0,"","补"&amp;VLOOKUP(A142,[4]扣税计算!$A$3:$S$241,18,0))</f>
        <v/>
      </c>
    </row>
    <row r="143" spans="1:6" ht="13.5">
      <c r="A143" s="22" t="s">
        <v>135</v>
      </c>
      <c r="B143" s="23" t="str">
        <f>VLOOKUP(A143,[3]bmgzxx!$D$5:$AL$300,2,0)</f>
        <v>吴定燕</v>
      </c>
      <c r="C143" s="24">
        <f>VLOOKUP(A143,[4]扣税计算!$A$3:$P$241,11,0)</f>
        <v>2100</v>
      </c>
      <c r="D143" s="25">
        <f>VLOOKUP(A143,[4]扣税计算!$A$3:$P$241,14,0)</f>
        <v>98.36</v>
      </c>
      <c r="E143" s="26" t="str">
        <f>VLOOKUP(A143,[4]扣税计算!$A$3:$R$268,15,0)</f>
        <v>3202160601010444570</v>
      </c>
      <c r="F143" s="27" t="str">
        <f>VLOOKUP(A143,[4]扣税计算!$A$3:$S$241,19,0)&amp;IF(VLOOKUP(A143,[4]扣税计算!$A$3:$S$241,18,0)=0,"","补"&amp;VLOOKUP(A143,[4]扣税计算!$A$3:$S$241,18,0))</f>
        <v/>
      </c>
    </row>
    <row r="144" spans="1:6" ht="13.5">
      <c r="A144" s="22" t="s">
        <v>66</v>
      </c>
      <c r="B144" s="23" t="str">
        <f>VLOOKUP(A144,[3]bmgzxx!$D$5:$AL$300,2,0)</f>
        <v>刘数华</v>
      </c>
      <c r="C144" s="24">
        <f>VLOOKUP(A144,[4]扣税计算!$A$3:$P$241,11,0)</f>
        <v>1950</v>
      </c>
      <c r="D144" s="25">
        <f>VLOOKUP(A144,[4]扣税计算!$A$3:$P$241,14,0)</f>
        <v>44.62</v>
      </c>
      <c r="E144" s="26" t="str">
        <f>VLOOKUP(A144,[4]扣税计算!$A$3:$R$268,15,0)</f>
        <v>3202160601063676385</v>
      </c>
      <c r="F144" s="27" t="str">
        <f>VLOOKUP(A144,[4]扣税计算!$A$3:$S$241,19,0)&amp;IF(VLOOKUP(A144,[4]扣税计算!$A$3:$S$241,18,0)=0,"","补"&amp;VLOOKUP(A144,[4]扣税计算!$A$3:$S$241,18,0))</f>
        <v/>
      </c>
    </row>
    <row r="145" spans="1:6" ht="13.5">
      <c r="A145" s="22" t="s">
        <v>138</v>
      </c>
      <c r="B145" s="23" t="str">
        <f>VLOOKUP(A145,[3]bmgzxx!$D$5:$AL$300,2,0)</f>
        <v>阮 燕</v>
      </c>
      <c r="C145" s="24">
        <f>VLOOKUP(A145,[4]扣税计算!$A$3:$P$241,11,0)</f>
        <v>2100</v>
      </c>
      <c r="D145" s="25">
        <f>VLOOKUP(A145,[4]扣税计算!$A$3:$P$241,14,0)</f>
        <v>86.82</v>
      </c>
      <c r="E145" s="26" t="str">
        <f>VLOOKUP(A145,[4]扣税计算!$A$3:$R$268,15,0)</f>
        <v>3202160601010444845</v>
      </c>
      <c r="F145" s="27" t="str">
        <f>VLOOKUP(A145,[4]扣税计算!$A$3:$S$241,19,0)&amp;IF(VLOOKUP(A145,[4]扣税计算!$A$3:$S$241,18,0)=0,"","补"&amp;VLOOKUP(A145,[4]扣税计算!$A$3:$S$241,18,0))</f>
        <v/>
      </c>
    </row>
    <row r="146" spans="1:6" ht="13.5">
      <c r="A146" s="22" t="s">
        <v>129</v>
      </c>
      <c r="B146" s="23" t="str">
        <f>VLOOKUP(A146,[3]bmgzxx!$D$5:$AL$300,2,0)</f>
        <v>徐 晖</v>
      </c>
      <c r="C146" s="24">
        <f>VLOOKUP(A146,[4]扣税计算!$A$3:$P$241,11,0)</f>
        <v>2300</v>
      </c>
      <c r="D146" s="25">
        <f>VLOOKUP(A146,[4]扣税计算!$A$3:$P$241,14,0)</f>
        <v>143.10000000000002</v>
      </c>
      <c r="E146" s="26" t="str">
        <f>VLOOKUP(A146,[4]扣税计算!$A$3:$R$268,15,0)</f>
        <v>3202160601010443819</v>
      </c>
      <c r="F146" s="27" t="str">
        <f>VLOOKUP(A146,[4]扣税计算!$A$3:$S$241,19,0)&amp;IF(VLOOKUP(A146,[4]扣税计算!$A$3:$S$241,18,0)=0,"","补"&amp;VLOOKUP(A146,[4]扣税计算!$A$3:$S$241,18,0))</f>
        <v/>
      </c>
    </row>
    <row r="147" spans="1:6" ht="13.5">
      <c r="A147" s="22" t="s">
        <v>126</v>
      </c>
      <c r="B147" s="23" t="str">
        <f>VLOOKUP(A147,[3]bmgzxx!$D$5:$AL$300,2,0)</f>
        <v>苏 欣</v>
      </c>
      <c r="C147" s="24">
        <f>VLOOKUP(A147,[4]扣税计算!$A$3:$P$241,11,0)</f>
        <v>2300</v>
      </c>
      <c r="D147" s="25">
        <f>VLOOKUP(A147,[4]扣税计算!$A$3:$P$241,14,0)</f>
        <v>143.10000000000002</v>
      </c>
      <c r="E147" s="26" t="str">
        <f>VLOOKUP(A147,[4]扣税计算!$A$3:$R$268,15,0)</f>
        <v>3202160601010443668</v>
      </c>
      <c r="F147" s="27" t="str">
        <f>VLOOKUP(A147,[4]扣税计算!$A$3:$S$241,19,0)&amp;IF(VLOOKUP(A147,[4]扣税计算!$A$3:$S$241,18,0)=0,"","补"&amp;VLOOKUP(A147,[4]扣税计算!$A$3:$S$241,18,0))</f>
        <v/>
      </c>
    </row>
    <row r="148" spans="1:6" ht="13.5">
      <c r="A148" s="22" t="s">
        <v>128</v>
      </c>
      <c r="B148" s="23" t="str">
        <f>VLOOKUP(A148,[3]bmgzxx!$D$5:$AL$300,2,0)</f>
        <v>邓念武</v>
      </c>
      <c r="C148" s="24">
        <f>VLOOKUP(A148,[4]扣税计算!$A$3:$P$241,11,0)</f>
        <v>2100</v>
      </c>
      <c r="D148" s="25">
        <f>VLOOKUP(A148,[4]扣税计算!$A$3:$P$241,14,0)</f>
        <v>89.26</v>
      </c>
      <c r="E148" s="26" t="str">
        <f>VLOOKUP(A148,[4]扣税计算!$A$3:$R$268,15,0)</f>
        <v>3202160601010443943</v>
      </c>
      <c r="F148" s="27" t="str">
        <f>VLOOKUP(A148,[4]扣税计算!$A$3:$S$241,19,0)&amp;IF(VLOOKUP(A148,[4]扣税计算!$A$3:$S$241,18,0)=0,"","补"&amp;VLOOKUP(A148,[4]扣税计算!$A$3:$S$241,18,0))</f>
        <v/>
      </c>
    </row>
    <row r="149" spans="1:6" ht="13.5">
      <c r="A149" s="22" t="s">
        <v>43</v>
      </c>
      <c r="B149" s="23" t="str">
        <f>VLOOKUP(A149,[3]bmgzxx!$D$5:$AL$300,2,0)</f>
        <v>张晓春</v>
      </c>
      <c r="C149" s="24">
        <f>VLOOKUP(A149,[4]扣税计算!$A$3:$P$241,11,0)</f>
        <v>1280</v>
      </c>
      <c r="D149" s="25">
        <f>VLOOKUP(A149,[4]扣税计算!$A$3:$P$241,14,0)</f>
        <v>9.5299999999999994</v>
      </c>
      <c r="E149" s="26" t="str">
        <f>VLOOKUP(A149,[4]扣税计算!$A$3:$R$268,15,0)</f>
        <v>3202160601060752186</v>
      </c>
      <c r="F149" s="27" t="str">
        <f>VLOOKUP(A149,[4]扣税计算!$A$3:$S$241,19,0)&amp;IF(VLOOKUP(A149,[4]扣税计算!$A$3:$S$241,18,0)=0,"","补"&amp;VLOOKUP(A149,[4]扣税计算!$A$3:$S$241,18,0))</f>
        <v/>
      </c>
    </row>
    <row r="150" spans="1:6" ht="13.5">
      <c r="A150" s="22" t="s">
        <v>55</v>
      </c>
      <c r="B150" s="23" t="str">
        <f>VLOOKUP(A150,[3]bmgzxx!$D$5:$AL$300,2,0)</f>
        <v>金银龙</v>
      </c>
      <c r="C150" s="24">
        <f>VLOOKUP(A150,[4]扣税计算!$A$3:$P$241,11,0)</f>
        <v>1280</v>
      </c>
      <c r="D150" s="25">
        <f>VLOOKUP(A150,[4]扣税计算!$A$3:$P$241,14,0)</f>
        <v>8.93</v>
      </c>
      <c r="E150" s="26" t="str">
        <f>VLOOKUP(A150,[4]扣税计算!$A$3:$R$268,15,0)</f>
        <v>3202160601062234969</v>
      </c>
      <c r="F150" s="27" t="str">
        <f>VLOOKUP(A150,[4]扣税计算!$A$3:$S$241,19,0)&amp;IF(VLOOKUP(A150,[4]扣税计算!$A$3:$S$241,18,0)=0,"","补"&amp;VLOOKUP(A150,[4]扣税计算!$A$3:$S$241,18,0))</f>
        <v/>
      </c>
    </row>
    <row r="151" spans="1:6" ht="13.5">
      <c r="A151" s="22" t="s">
        <v>98</v>
      </c>
      <c r="B151" s="23" t="str">
        <f>VLOOKUP(A151,[3]bmgzxx!$D$5:$AL$300,2,0)</f>
        <v>周创兵</v>
      </c>
      <c r="C151" s="24">
        <f>VLOOKUP(A151,[4]扣税计算!$A$3:$P$241,11,0)</f>
        <v>2000</v>
      </c>
      <c r="D151" s="25">
        <f>VLOOKUP(A151,[4]扣税计算!$A$3:$P$241,14,0)</f>
        <v>194.75</v>
      </c>
      <c r="E151" s="26" t="str">
        <f>VLOOKUP(A151,[4]扣税计算!$A$3:$R$268,15,0)</f>
        <v>3202160601010440315</v>
      </c>
      <c r="F151" s="27" t="str">
        <f>VLOOKUP(A151,[4]扣税计算!$A$3:$S$241,19,0)&amp;IF(VLOOKUP(A151,[4]扣税计算!$A$3:$S$241,18,0)=0,"","补"&amp;VLOOKUP(A151,[4]扣税计算!$A$3:$S$241,18,0))</f>
        <v/>
      </c>
    </row>
    <row r="152" spans="1:6" ht="13.5">
      <c r="A152" s="22" t="s">
        <v>133</v>
      </c>
      <c r="B152" s="23" t="str">
        <f>VLOOKUP(A152,[3]bmgzxx!$D$5:$AL$300,2,0)</f>
        <v>杨连生</v>
      </c>
      <c r="C152" s="24">
        <f>VLOOKUP(A152,[4]扣税计算!$A$3:$P$241,11,0)</f>
        <v>2300</v>
      </c>
      <c r="D152" s="25">
        <f>VLOOKUP(A152,[4]扣税计算!$A$3:$P$241,14,0)</f>
        <v>143.10000000000002</v>
      </c>
      <c r="E152" s="26" t="str">
        <f>VLOOKUP(A152,[4]扣税计算!$A$3:$R$268,15,0)</f>
        <v>3202160601010439972</v>
      </c>
      <c r="F152" s="27" t="str">
        <f>VLOOKUP(A152,[4]扣税计算!$A$3:$S$241,19,0)&amp;IF(VLOOKUP(A152,[4]扣税计算!$A$3:$S$241,18,0)=0,"","补"&amp;VLOOKUP(A152,[4]扣税计算!$A$3:$S$241,18,0))</f>
        <v/>
      </c>
    </row>
    <row r="153" spans="1:6" ht="13.5">
      <c r="A153" s="22" t="s">
        <v>131</v>
      </c>
      <c r="B153" s="23" t="str">
        <f>VLOOKUP(A153,[3]bmgzxx!$D$5:$AL$300,2,0)</f>
        <v>荣 冠</v>
      </c>
      <c r="C153" s="24">
        <f>VLOOKUP(A153,[4]扣税计算!$A$3:$P$241,11,0)</f>
        <v>1950</v>
      </c>
      <c r="D153" s="25">
        <f>VLOOKUP(A153,[4]扣税计算!$A$3:$P$241,14,0)</f>
        <v>0</v>
      </c>
      <c r="E153" s="26" t="str">
        <f>VLOOKUP(A153,[4]扣税计算!$A$3:$R$268,15,0)</f>
        <v>3202160601010440439</v>
      </c>
      <c r="F153" s="27" t="str">
        <f>VLOOKUP(A153,[4]扣税计算!$A$3:$S$241,19,0)&amp;IF(VLOOKUP(A153,[4]扣税计算!$A$3:$S$241,18,0)=0,"","补"&amp;VLOOKUP(A153,[4]扣税计算!$A$3:$S$241,18,0))</f>
        <v/>
      </c>
    </row>
    <row r="154" spans="1:6" ht="13.5">
      <c r="A154" s="22" t="s">
        <v>132</v>
      </c>
      <c r="B154" s="23" t="str">
        <f>VLOOKUP(A154,[3]bmgzxx!$D$5:$AL$300,2,0)</f>
        <v>王 涛SD</v>
      </c>
      <c r="C154" s="24">
        <f>VLOOKUP(A154,[4]扣税计算!$A$3:$P$241,11,0)</f>
        <v>1950</v>
      </c>
      <c r="D154" s="25">
        <f>VLOOKUP(A154,[4]扣税计算!$A$3:$P$241,14,0)</f>
        <v>47.87</v>
      </c>
      <c r="E154" s="26" t="str">
        <f>VLOOKUP(A154,[4]扣税计算!$A$3:$R$268,15,0)</f>
        <v>3202160601010619337</v>
      </c>
      <c r="F154" s="27" t="str">
        <f>VLOOKUP(A154,[4]扣税计算!$A$3:$S$241,19,0)&amp;IF(VLOOKUP(A154,[4]扣税计算!$A$3:$S$241,18,0)=0,"","补"&amp;VLOOKUP(A154,[4]扣税计算!$A$3:$S$241,18,0))</f>
        <v/>
      </c>
    </row>
    <row r="155" spans="1:6" ht="13.5">
      <c r="A155" s="22" t="s">
        <v>48</v>
      </c>
      <c r="B155" s="23" t="str">
        <f>VLOOKUP(A155,[3]bmgzxx!$D$5:$AL$300,2,0)</f>
        <v>陈益峰</v>
      </c>
      <c r="C155" s="24" t="e">
        <f>VLOOKUP(A155,[4]扣税计算!$A$3:$P$241,11,0)</f>
        <v>#N/A</v>
      </c>
      <c r="D155" s="25" t="e">
        <f>VLOOKUP(A155,[4]扣税计算!$A$3:$P$241,14,0)</f>
        <v>#N/A</v>
      </c>
      <c r="E155" s="26" t="e">
        <f>VLOOKUP(A155,[4]扣税计算!$A$3:$R$268,15,0)</f>
        <v>#N/A</v>
      </c>
      <c r="F155" s="27" t="e">
        <f>VLOOKUP(A155,[4]扣税计算!$A$3:$S$241,19,0)&amp;IF(VLOOKUP(A155,[4]扣税计算!$A$3:$S$241,18,0)=0,"","补"&amp;VLOOKUP(A155,[4]扣税计算!$A$3:$S$241,18,0))</f>
        <v>#N/A</v>
      </c>
    </row>
    <row r="156" spans="1:6" ht="13.5">
      <c r="A156" s="22" t="s">
        <v>86</v>
      </c>
      <c r="B156" s="23" t="str">
        <f>VLOOKUP(A156,[3]bmgzxx!$D$5:$AL$300,2,0)</f>
        <v>徐维生</v>
      </c>
      <c r="C156" s="24">
        <f>VLOOKUP(A156,[4]扣税计算!$A$3:$P$241,11,0)</f>
        <v>1600</v>
      </c>
      <c r="D156" s="25">
        <f>VLOOKUP(A156,[4]扣税计算!$A$3:$P$241,14,0)</f>
        <v>39.15</v>
      </c>
      <c r="E156" s="26" t="str">
        <f>VLOOKUP(A156,[4]扣税计算!$A$3:$R$268,15,0)</f>
        <v>6222023202032991647</v>
      </c>
      <c r="F156" s="27" t="str">
        <f>VLOOKUP(A156,[4]扣税计算!$A$3:$S$241,19,0)&amp;IF(VLOOKUP(A156,[4]扣税计算!$A$3:$S$241,18,0)=0,"","补"&amp;VLOOKUP(A156,[4]扣税计算!$A$3:$S$241,18,0))</f>
        <v/>
      </c>
    </row>
    <row r="157" spans="1:6" ht="13.5">
      <c r="A157" s="22" t="s">
        <v>188</v>
      </c>
      <c r="B157" s="23" t="str">
        <f>VLOOKUP(A157,[3]bmgzxx!$D$5:$AL$300,2,0)</f>
        <v>王富庆</v>
      </c>
      <c r="C157" s="24">
        <f>VLOOKUP(A157,[4]扣税计算!$A$3:$P$241,11,0)</f>
        <v>2300</v>
      </c>
      <c r="D157" s="25">
        <f>VLOOKUP(A157,[4]扣税计算!$A$3:$P$241,14,0)</f>
        <v>138.96</v>
      </c>
      <c r="E157" s="26" t="str">
        <f>VLOOKUP(A157,[4]扣税计算!$A$3:$R$268,15,0)</f>
        <v>3202160601010414604</v>
      </c>
      <c r="F157" s="27" t="str">
        <f>VLOOKUP(A157,[4]扣税计算!$A$3:$S$241,19,0)&amp;IF(VLOOKUP(A157,[4]扣税计算!$A$3:$S$241,18,0)=0,"","补"&amp;VLOOKUP(A157,[4]扣税计算!$A$3:$S$241,18,0))</f>
        <v/>
      </c>
    </row>
    <row r="158" spans="1:6" ht="13.5">
      <c r="A158" s="22" t="s">
        <v>185</v>
      </c>
      <c r="B158" s="23" t="str">
        <f>VLOOKUP(A158,[3]bmgzxx!$D$5:$AL$300,2,0)</f>
        <v>唐友生</v>
      </c>
      <c r="C158" s="24">
        <f>VLOOKUP(A158,[4]扣税计算!$A$3:$P$241,11,0)</f>
        <v>1100</v>
      </c>
      <c r="D158" s="25">
        <f>VLOOKUP(A158,[4]扣税计算!$A$3:$P$241,14,0)</f>
        <v>3.65</v>
      </c>
      <c r="E158" s="26" t="str">
        <f>VLOOKUP(A158,[4]扣税计算!$A$3:$R$268,15,0)</f>
        <v>3202160601010903631</v>
      </c>
      <c r="F158" s="27" t="str">
        <f>VLOOKUP(A158,[4]扣税计算!$A$3:$S$241,19,0)&amp;IF(VLOOKUP(A158,[4]扣税计算!$A$3:$S$241,18,0)=0,"","补"&amp;VLOOKUP(A158,[4]扣税计算!$A$3:$S$241,18,0))</f>
        <v/>
      </c>
    </row>
    <row r="159" spans="1:6" ht="13.5">
      <c r="A159" s="22" t="s">
        <v>187</v>
      </c>
      <c r="B159" s="23" t="str">
        <f>VLOOKUP(A159,[3]bmgzxx!$D$5:$AL$300,2,0)</f>
        <v>穆秀英</v>
      </c>
      <c r="C159" s="24">
        <f>VLOOKUP(A159,[4]扣税计算!$A$3:$P$241,11,0)</f>
        <v>1050</v>
      </c>
      <c r="D159" s="25">
        <f>VLOOKUP(A159,[4]扣税计算!$A$3:$P$241,14,0)</f>
        <v>2.38</v>
      </c>
      <c r="E159" s="26" t="str">
        <f>VLOOKUP(A159,[4]扣税计算!$A$3:$R$268,15,0)</f>
        <v>3202160601010652124</v>
      </c>
      <c r="F159" s="27" t="str">
        <f>VLOOKUP(A159,[4]扣税计算!$A$3:$S$241,19,0)&amp;IF(VLOOKUP(A159,[4]扣税计算!$A$3:$S$241,18,0)=0,"","补"&amp;VLOOKUP(A159,[4]扣税计算!$A$3:$S$241,18,0))</f>
        <v/>
      </c>
    </row>
    <row r="160" spans="1:6" ht="13.5">
      <c r="A160" s="22" t="s">
        <v>186</v>
      </c>
      <c r="B160" s="23" t="str">
        <f>VLOOKUP(A160,[3]bmgzxx!$D$5:$AL$300,2,0)</f>
        <v>覃奇志</v>
      </c>
      <c r="C160" s="24">
        <f>VLOOKUP(A160,[4]扣税计算!$A$3:$P$241,11,0)</f>
        <v>1050</v>
      </c>
      <c r="D160" s="25">
        <f>VLOOKUP(A160,[4]扣税计算!$A$3:$P$241,14,0)</f>
        <v>0</v>
      </c>
      <c r="E160" s="26" t="str">
        <f>VLOOKUP(A160,[4]扣税计算!$A$3:$R$268,15,0)</f>
        <v>3202160601010413028</v>
      </c>
      <c r="F160" s="27" t="str">
        <f>VLOOKUP(A160,[4]扣税计算!$A$3:$S$241,19,0)&amp;IF(VLOOKUP(A160,[4]扣税计算!$A$3:$S$241,18,0)=0,"","补"&amp;VLOOKUP(A160,[4]扣税计算!$A$3:$S$241,18,0))</f>
        <v/>
      </c>
    </row>
    <row r="161" spans="1:6" ht="13.5">
      <c r="A161" s="22" t="s">
        <v>95</v>
      </c>
      <c r="B161" s="23" t="str">
        <f>VLOOKUP(A161,[3]bmgzxx!$D$5:$AL$300,2,0)</f>
        <v>韩向远</v>
      </c>
      <c r="C161" s="24">
        <f>VLOOKUP(A161,[4]扣税计算!$A$3:$P$241,11,0)</f>
        <v>1430</v>
      </c>
      <c r="D161" s="25">
        <f>VLOOKUP(A161,[4]扣税计算!$A$3:$P$241,14,0)</f>
        <v>24.93</v>
      </c>
      <c r="E161" s="26" t="str">
        <f>VLOOKUP(A161,[4]扣税计算!$A$3:$R$268,15,0)</f>
        <v>6222083202003675697</v>
      </c>
      <c r="F161" s="27" t="str">
        <f>VLOOKUP(A161,[4]扣税计算!$A$3:$S$241,19,0)&amp;IF(VLOOKUP(A161,[4]扣税计算!$A$3:$S$241,18,0)=0,"","补"&amp;VLOOKUP(A161,[4]扣税计算!$A$3:$S$241,18,0))</f>
        <v/>
      </c>
    </row>
    <row r="162" spans="1:6" ht="13.5">
      <c r="A162" s="22" t="s">
        <v>80</v>
      </c>
      <c r="B162" s="23" t="str">
        <f>VLOOKUP(A162,[3]bmgzxx!$D$5:$AL$300,2,0)</f>
        <v>王志远</v>
      </c>
      <c r="C162" s="24">
        <f>VLOOKUP(A162,[4]扣税计算!$A$3:$P$241,11,0)</f>
        <v>1200</v>
      </c>
      <c r="D162" s="25">
        <f>VLOOKUP(A162,[4]扣税计算!$A$3:$P$241,14,0)</f>
        <v>0</v>
      </c>
      <c r="E162" s="26" t="str">
        <f>VLOOKUP(A162,[4]扣税计算!$A$3:$R$268,15,0)</f>
        <v>6222023202023262818</v>
      </c>
      <c r="F162" s="27" t="str">
        <f>VLOOKUP(A162,[4]扣税计算!$A$3:$S$241,19,0)&amp;IF(VLOOKUP(A162,[4]扣税计算!$A$3:$S$241,18,0)=0,"","补"&amp;VLOOKUP(A162,[4]扣税计算!$A$3:$S$241,18,0))</f>
        <v/>
      </c>
    </row>
    <row r="163" spans="1:6" ht="13.5">
      <c r="A163" s="22" t="s">
        <v>165</v>
      </c>
      <c r="B163" s="23" t="str">
        <f>VLOOKUP(A163,[3]bmgzxx!$D$5:$AL$300,2,0)</f>
        <v>黄汉生</v>
      </c>
      <c r="C163" s="24">
        <f>VLOOKUP(A163,[4]扣税计算!$A$3:$P$241,11,0)</f>
        <v>2100</v>
      </c>
      <c r="D163" s="25">
        <f>VLOOKUP(A163,[4]扣税计算!$A$3:$P$241,14,0)</f>
        <v>84.82</v>
      </c>
      <c r="E163" s="26" t="str">
        <f>VLOOKUP(A163,[4]扣税计算!$A$3:$R$268,15,0)</f>
        <v>3202160601010417035</v>
      </c>
      <c r="F163" s="27" t="str">
        <f>VLOOKUP(A163,[4]扣税计算!$A$3:$S$241,19,0)&amp;IF(VLOOKUP(A163,[4]扣税计算!$A$3:$S$241,18,0)=0,"","补"&amp;VLOOKUP(A163,[4]扣税计算!$A$3:$S$241,18,0))</f>
        <v/>
      </c>
    </row>
    <row r="164" spans="1:6" ht="13.5">
      <c r="A164" s="22" t="s">
        <v>218</v>
      </c>
      <c r="B164" s="23" t="str">
        <f>VLOOKUP(A164,[3]bmgzxx!$D$5:$AL$300,2,0)</f>
        <v>李旺兴</v>
      </c>
      <c r="C164" s="24">
        <f>VLOOKUP(A164,[4]扣税计算!$A$3:$P$241,11,0)</f>
        <v>2100</v>
      </c>
      <c r="D164" s="25">
        <f>VLOOKUP(A164,[4]扣税计算!$A$3:$P$241,14,0)</f>
        <v>93.99</v>
      </c>
      <c r="E164" s="26" t="str">
        <f>VLOOKUP(A164,[4]扣税计算!$A$3:$R$268,15,0)</f>
        <v>3202160601010423856</v>
      </c>
      <c r="F164" s="27" t="str">
        <f>VLOOKUP(A164,[4]扣税计算!$A$3:$S$241,19,0)&amp;IF(VLOOKUP(A164,[4]扣税计算!$A$3:$S$241,18,0)=0,"","补"&amp;VLOOKUP(A164,[4]扣税计算!$A$3:$S$241,18,0))</f>
        <v/>
      </c>
    </row>
    <row r="165" spans="1:6" ht="13.5">
      <c r="A165" s="22" t="s">
        <v>223</v>
      </c>
      <c r="B165" s="23" t="str">
        <f>VLOOKUP(A165,[3]bmgzxx!$D$5:$AL$300,2,0)</f>
        <v>王 丹</v>
      </c>
      <c r="C165" s="24">
        <f>VLOOKUP(A165,[4]扣税计算!$A$3:$P$241,11,0)</f>
        <v>1580</v>
      </c>
      <c r="D165" s="25">
        <f>VLOOKUP(A165,[4]扣税计算!$A$3:$P$241,14,0)</f>
        <v>30.64</v>
      </c>
      <c r="E165" s="26" t="str">
        <f>VLOOKUP(A165,[4]扣税计算!$A$3:$R$268,15,0)</f>
        <v>3202160601010642218</v>
      </c>
      <c r="F165" s="27" t="str">
        <f>VLOOKUP(A165,[4]扣税计算!$A$3:$S$241,19,0)&amp;IF(VLOOKUP(A165,[4]扣税计算!$A$3:$S$241,18,0)=0,"","补"&amp;VLOOKUP(A165,[4]扣税计算!$A$3:$S$241,18,0))</f>
        <v/>
      </c>
    </row>
    <row r="166" spans="1:6" ht="13.5">
      <c r="A166" s="22" t="s">
        <v>217</v>
      </c>
      <c r="B166" s="23" t="str">
        <f>VLOOKUP(A166,[3]bmgzxx!$D$5:$AL$300,2,0)</f>
        <v>李白鸣</v>
      </c>
      <c r="C166" s="24">
        <f>VLOOKUP(A166,[4]扣税计算!$A$3:$P$241,11,0)</f>
        <v>1580</v>
      </c>
      <c r="D166" s="25">
        <f>VLOOKUP(A166,[4]扣税计算!$A$3:$P$241,14,0)</f>
        <v>34.5</v>
      </c>
      <c r="E166" s="26" t="str">
        <f>VLOOKUP(A166,[4]扣税计算!$A$3:$R$268,15,0)</f>
        <v>3202160601060040267</v>
      </c>
      <c r="F166" s="27" t="str">
        <f>VLOOKUP(A166,[4]扣税计算!$A$3:$S$241,19,0)&amp;IF(VLOOKUP(A166,[4]扣税计算!$A$3:$S$241,18,0)=0,"","补"&amp;VLOOKUP(A166,[4]扣税计算!$A$3:$S$241,18,0))</f>
        <v/>
      </c>
    </row>
    <row r="167" spans="1:6" ht="13.5">
      <c r="A167" s="22" t="s">
        <v>212</v>
      </c>
      <c r="B167" s="23" t="str">
        <f>VLOOKUP(A167,[3]bmgzxx!$D$5:$AL$300,2,0)</f>
        <v>姚小明</v>
      </c>
      <c r="C167" s="24">
        <f>VLOOKUP(A167,[4]扣税计算!$A$3:$P$241,11,0)</f>
        <v>1580</v>
      </c>
      <c r="D167" s="25">
        <f>VLOOKUP(A167,[4]扣税计算!$A$3:$P$241,14,0)</f>
        <v>32.17</v>
      </c>
      <c r="E167" s="26" t="str">
        <f>VLOOKUP(A167,[4]扣税计算!$A$3:$R$268,15,0)</f>
        <v>3202160601011267852</v>
      </c>
      <c r="F167" s="27" t="str">
        <f>VLOOKUP(A167,[4]扣税计算!$A$3:$S$241,19,0)&amp;IF(VLOOKUP(A167,[4]扣税计算!$A$3:$S$241,18,0)=0,"","补"&amp;VLOOKUP(A167,[4]扣税计算!$A$3:$S$241,18,0))</f>
        <v/>
      </c>
    </row>
    <row r="168" spans="1:6" ht="13.5">
      <c r="A168" s="22" t="s">
        <v>246</v>
      </c>
      <c r="B168" s="23" t="str">
        <f>VLOOKUP(A168,[3]bmgzxx!$D$5:$AL$300,2,0)</f>
        <v>王京辉</v>
      </c>
      <c r="C168" s="24">
        <f>VLOOKUP(A168,[4]扣税计算!$A$3:$P$241,11,0)</f>
        <v>1580</v>
      </c>
      <c r="D168" s="25">
        <f>VLOOKUP(A168,[4]扣税计算!$A$3:$P$241,14,0)</f>
        <v>29.3</v>
      </c>
      <c r="E168" s="26" t="str">
        <f>VLOOKUP(A168,[4]扣税计算!$A$3:$R$268,15,0)</f>
        <v>3202160601010753337</v>
      </c>
      <c r="F168" s="27" t="str">
        <f>VLOOKUP(A168,[4]扣税计算!$A$3:$S$241,19,0)&amp;IF(VLOOKUP(A168,[4]扣税计算!$A$3:$S$241,18,0)=0,"","补"&amp;VLOOKUP(A168,[4]扣税计算!$A$3:$S$241,18,0))</f>
        <v/>
      </c>
    </row>
    <row r="169" spans="1:6" ht="13.5">
      <c r="A169" s="22" t="s">
        <v>242</v>
      </c>
      <c r="B169" s="23" t="str">
        <f>VLOOKUP(A169,[3]bmgzxx!$D$5:$AL$300,2,0)</f>
        <v>李 琼</v>
      </c>
      <c r="C169" s="24">
        <f>VLOOKUP(A169,[4]扣税计算!$A$3:$P$241,11,0)</f>
        <v>1950</v>
      </c>
      <c r="D169" s="25">
        <f>VLOOKUP(A169,[4]扣税计算!$A$3:$P$241,14,0)</f>
        <v>72.069999999999993</v>
      </c>
      <c r="E169" s="26" t="str">
        <f>VLOOKUP(A169,[4]扣税计算!$A$3:$R$268,15,0)</f>
        <v>3202160601010378011</v>
      </c>
      <c r="F169" s="27" t="str">
        <f>VLOOKUP(A169,[4]扣税计算!$A$3:$S$241,19,0)&amp;IF(VLOOKUP(A169,[4]扣税计算!$A$3:$S$241,18,0)=0,"","补"&amp;VLOOKUP(A169,[4]扣税计算!$A$3:$S$241,18,0))</f>
        <v/>
      </c>
    </row>
    <row r="170" spans="1:6" ht="13.5">
      <c r="A170" s="22" t="s">
        <v>40</v>
      </c>
      <c r="B170" s="23" t="str">
        <f>VLOOKUP(A170,[3]bmgzxx!$D$5:$AL$300,2,0)</f>
        <v>李曰辰</v>
      </c>
      <c r="C170" s="24">
        <f>VLOOKUP(A170,[4]扣税计算!$A$3:$P$241,11,0)</f>
        <v>1430</v>
      </c>
      <c r="D170" s="25">
        <f>VLOOKUP(A170,[4]扣税计算!$A$3:$P$241,14,0)</f>
        <v>19.600000000000001</v>
      </c>
      <c r="E170" s="26" t="str">
        <f>VLOOKUP(A170,[4]扣税计算!$A$3:$R$268,15,0)</f>
        <v>3202160601011291910</v>
      </c>
      <c r="F170" s="27" t="str">
        <f>VLOOKUP(A170,[4]扣税计算!$A$3:$S$241,19,0)&amp;IF(VLOOKUP(A170,[4]扣税计算!$A$3:$S$241,18,0)=0,"","补"&amp;VLOOKUP(A170,[4]扣税计算!$A$3:$S$241,18,0))</f>
        <v/>
      </c>
    </row>
    <row r="171" spans="1:6" ht="13.5">
      <c r="A171" s="22" t="s">
        <v>264</v>
      </c>
      <c r="B171" s="23" t="str">
        <f>VLOOKUP(A171,[3]bmgzxx!$D$5:$AL$300,2,0)</f>
        <v>陈 欢</v>
      </c>
      <c r="C171" s="24">
        <f>VLOOKUP(A171,[4]扣税计算!$A$3:$P$241,11,0)</f>
        <v>1700</v>
      </c>
      <c r="D171" s="25">
        <f>VLOOKUP(A171,[4]扣税计算!$A$3:$P$241,14,0)</f>
        <v>5.16</v>
      </c>
      <c r="E171" s="26" t="str">
        <f>VLOOKUP(A171,[4]扣税计算!$A$3:$R$268,15,0)</f>
        <v>6222083202004207581</v>
      </c>
      <c r="F171" s="27" t="str">
        <f>VLOOKUP(A171,[4]扣税计算!$A$3:$S$241,19,0)&amp;IF(VLOOKUP(A171,[4]扣税计算!$A$3:$S$241,18,0)=0,"","补"&amp;VLOOKUP(A171,[4]扣税计算!$A$3:$S$241,18,0))</f>
        <v/>
      </c>
    </row>
    <row r="172" spans="1:6" ht="13.5">
      <c r="A172" s="22" t="s">
        <v>249</v>
      </c>
      <c r="B172" s="23" t="str">
        <f>VLOOKUP(A172,[3]bmgzxx!$D$5:$AL$300,2,0)</f>
        <v>杨万红</v>
      </c>
      <c r="C172" s="24">
        <f>VLOOKUP(A172,[4]扣税计算!$A$3:$P$241,11,0)</f>
        <v>1050</v>
      </c>
      <c r="D172" s="25">
        <f>VLOOKUP(A172,[4]扣税计算!$A$3:$P$241,14,0)</f>
        <v>1.82</v>
      </c>
      <c r="E172" s="26" t="str">
        <f>VLOOKUP(A172,[4]扣税计算!$A$3:$R$268,15,0)</f>
        <v>3202160601010427216</v>
      </c>
      <c r="F172" s="27" t="str">
        <f>VLOOKUP(A172,[4]扣税计算!$A$3:$S$241,19,0)&amp;IF(VLOOKUP(A172,[4]扣税计算!$A$3:$S$241,18,0)=0,"","补"&amp;VLOOKUP(A172,[4]扣税计算!$A$3:$S$241,18,0))</f>
        <v/>
      </c>
    </row>
    <row r="173" spans="1:6" ht="13.5">
      <c r="A173" s="22" t="s">
        <v>252</v>
      </c>
      <c r="B173" s="23" t="str">
        <f>VLOOKUP(A173,[3]bmgzxx!$D$5:$AL$300,2,0)</f>
        <v>陈隆斌</v>
      </c>
      <c r="C173" s="24">
        <f>VLOOKUP(A173,[4]扣税计算!$A$3:$P$241,11,0)</f>
        <v>540</v>
      </c>
      <c r="D173" s="25">
        <f>VLOOKUP(A173,[4]扣税计算!$A$3:$P$241,14,0)</f>
        <v>0</v>
      </c>
      <c r="E173" s="26" t="str">
        <f>VLOOKUP(A173,[4]扣税计算!$A$3:$R$268,15,0)</f>
        <v>3202160601010426837</v>
      </c>
      <c r="F173" s="27" t="str">
        <f>VLOOKUP(A173,[4]扣税计算!$A$3:$S$241,19,0)&amp;IF(VLOOKUP(A173,[4]扣税计算!$A$3:$S$241,18,0)=0,"","补"&amp;VLOOKUP(A173,[4]扣税计算!$A$3:$S$241,18,0))</f>
        <v/>
      </c>
    </row>
    <row r="174" spans="1:6" ht="13.5">
      <c r="A174" s="22" t="s">
        <v>250</v>
      </c>
      <c r="B174" s="23" t="str">
        <f>VLOOKUP(A174,[3]bmgzxx!$D$5:$AL$300,2,0)</f>
        <v>吕一红</v>
      </c>
      <c r="C174" s="24">
        <f>VLOOKUP(A174,[4]扣税计算!$A$3:$P$241,11,0)</f>
        <v>660</v>
      </c>
      <c r="D174" s="25">
        <f>VLOOKUP(A174,[4]扣税计算!$A$3:$P$241,14,0)</f>
        <v>0</v>
      </c>
      <c r="E174" s="26" t="str">
        <f>VLOOKUP(A174,[4]扣税计算!$A$3:$R$268,15,0)</f>
        <v>3202160601010426713</v>
      </c>
      <c r="F174" s="27" t="str">
        <f>VLOOKUP(A174,[4]扣税计算!$A$3:$S$241,19,0)&amp;IF(VLOOKUP(A174,[4]扣税计算!$A$3:$S$241,18,0)=0,"","补"&amp;VLOOKUP(A174,[4]扣税计算!$A$3:$S$241,18,0))</f>
        <v/>
      </c>
    </row>
    <row r="175" spans="1:6" ht="13.5">
      <c r="A175" s="22" t="s">
        <v>208</v>
      </c>
      <c r="B175" s="23" t="str">
        <f>VLOOKUP(A175,[3]bmgzxx!$D$5:$AL$300,2,0)</f>
        <v>许建明</v>
      </c>
      <c r="C175" s="24">
        <f>VLOOKUP(A175,[4]扣税计算!$A$3:$P$241,11,0)</f>
        <v>1430</v>
      </c>
      <c r="D175" s="25">
        <f>VLOOKUP(A175,[4]扣税计算!$A$3:$P$241,14,0)</f>
        <v>23.51</v>
      </c>
      <c r="E175" s="26" t="str">
        <f>VLOOKUP(A175,[4]扣税计算!$A$3:$R$268,15,0)</f>
        <v>3202160601010428366</v>
      </c>
      <c r="F175" s="27" t="str">
        <f>VLOOKUP(A175,[4]扣税计算!$A$3:$S$241,19,0)&amp;IF(VLOOKUP(A175,[4]扣税计算!$A$3:$S$241,18,0)=0,"","补"&amp;VLOOKUP(A175,[4]扣税计算!$A$3:$S$241,18,0))</f>
        <v/>
      </c>
    </row>
    <row r="176" spans="1:6" ht="13.5">
      <c r="A176" s="22" t="s">
        <v>83</v>
      </c>
      <c r="B176" s="23" t="str">
        <f>VLOOKUP(A176,[3]bmgzxx!$D$5:$AL$300,2,0)</f>
        <v>潘国艳</v>
      </c>
      <c r="C176" s="24">
        <f>VLOOKUP(A176,[4]扣税计算!$A$3:$P$241,11,0)</f>
        <v>1600</v>
      </c>
      <c r="D176" s="25">
        <f>VLOOKUP(A176,[4]扣税计算!$A$3:$P$241,14,0)</f>
        <v>8.59</v>
      </c>
      <c r="E176" s="26" t="str">
        <f>VLOOKUP(A176,[4]扣税计算!$A$3:$R$268,15,0)</f>
        <v>3202160601064691229</v>
      </c>
      <c r="F176" s="27" t="str">
        <f>VLOOKUP(A176,[4]扣税计算!$A$3:$S$241,19,0)&amp;IF(VLOOKUP(A176,[4]扣税计算!$A$3:$S$241,18,0)=0,"","补"&amp;VLOOKUP(A176,[4]扣税计算!$A$3:$S$241,18,0))</f>
        <v/>
      </c>
    </row>
    <row r="177" spans="1:6" ht="13.5">
      <c r="A177" s="22" t="s">
        <v>106</v>
      </c>
      <c r="B177" s="23" t="str">
        <f>VLOOKUP(A177,[3]bmgzxx!$D$5:$AL$300,2,0)</f>
        <v>楚湘林</v>
      </c>
      <c r="C177" s="24">
        <f>VLOOKUP(A177,[4]扣税计算!$A$3:$P$241,11,0)</f>
        <v>1430</v>
      </c>
      <c r="D177" s="25">
        <f>VLOOKUP(A177,[4]扣税计算!$A$3:$P$241,14,0)</f>
        <v>27.18</v>
      </c>
      <c r="E177" s="26" t="str">
        <f>VLOOKUP(A177,[4]扣税计算!$A$3:$R$268,15,0)</f>
        <v>3202160601010800986</v>
      </c>
      <c r="F177" s="27" t="str">
        <f>VLOOKUP(A177,[4]扣税计算!$A$3:$S$241,19,0)&amp;IF(VLOOKUP(A177,[4]扣税计算!$A$3:$S$241,18,0)=0,"","补"&amp;VLOOKUP(A177,[4]扣税计算!$A$3:$S$241,18,0))</f>
        <v/>
      </c>
    </row>
    <row r="178" spans="1:6" ht="13.5">
      <c r="A178" s="22" t="s">
        <v>163</v>
      </c>
      <c r="B178" s="23" t="str">
        <f>VLOOKUP(A178,[3]bmgzxx!$D$5:$AL$300,2,0)</f>
        <v>吴长胜</v>
      </c>
      <c r="C178" s="24">
        <f>VLOOKUP(A178,[4]扣税计算!$A$3:$P$241,11,0)</f>
        <v>1580</v>
      </c>
      <c r="D178" s="25">
        <f>VLOOKUP(A178,[4]扣税计算!$A$3:$P$241,14,0)</f>
        <v>32.17</v>
      </c>
      <c r="E178" s="26" t="str">
        <f>VLOOKUP(A178,[4]扣税计算!$A$3:$R$268,15,0)</f>
        <v>3202160601010467514</v>
      </c>
      <c r="F178" s="27" t="str">
        <f>VLOOKUP(A178,[4]扣税计算!$A$3:$S$241,19,0)&amp;IF(VLOOKUP(A178,[4]扣税计算!$A$3:$S$241,18,0)=0,"","补"&amp;VLOOKUP(A178,[4]扣税计算!$A$3:$S$241,18,0))</f>
        <v/>
      </c>
    </row>
    <row r="179" spans="1:6" ht="13.5">
      <c r="A179" s="22" t="s">
        <v>164</v>
      </c>
      <c r="B179" s="23" t="str">
        <f>VLOOKUP(A179,[3]bmgzxx!$D$5:$AL$300,2,0)</f>
        <v>王学武</v>
      </c>
      <c r="C179" s="24">
        <f>VLOOKUP(A179,[4]扣税计算!$A$3:$P$241,11,0)</f>
        <v>1580</v>
      </c>
      <c r="D179" s="25">
        <f>VLOOKUP(A179,[4]扣税计算!$A$3:$P$241,14,0)</f>
        <v>28.7</v>
      </c>
      <c r="E179" s="26" t="str">
        <f>VLOOKUP(A179,[4]扣税计算!$A$3:$R$268,15,0)</f>
        <v>3202160601010469318</v>
      </c>
      <c r="F179" s="27" t="str">
        <f>VLOOKUP(A179,[4]扣税计算!$A$3:$S$241,19,0)&amp;IF(VLOOKUP(A179,[4]扣税计算!$A$3:$S$241,18,0)=0,"","补"&amp;VLOOKUP(A179,[4]扣税计算!$A$3:$S$241,18,0))</f>
        <v/>
      </c>
    </row>
    <row r="180" spans="1:6" ht="13.5">
      <c r="A180" s="22" t="s">
        <v>270</v>
      </c>
      <c r="B180" s="23" t="str">
        <f>VLOOKUP(A180,[3]bmgzxx!$D$5:$AL$300,2,0)</f>
        <v>李 玲</v>
      </c>
      <c r="C180" s="24">
        <f>VLOOKUP(A180,[4]扣税计算!$A$3:$P$241,11,0)</f>
        <v>1600</v>
      </c>
      <c r="D180" s="25">
        <f>VLOOKUP(A180,[4]扣税计算!$A$3:$P$241,14,0)</f>
        <v>39.75</v>
      </c>
      <c r="E180" s="26" t="str">
        <f>VLOOKUP(A180,[4]扣税计算!$A$3:$R$268,15,0)</f>
        <v>6222023202047636344</v>
      </c>
      <c r="F180" s="27" t="str">
        <f>VLOOKUP(A180,[4]扣税计算!$A$3:$S$241,19,0)&amp;IF(VLOOKUP(A180,[4]扣税计算!$A$3:$S$241,18,0)=0,"","补"&amp;VLOOKUP(A180,[4]扣税计算!$A$3:$S$241,18,0))</f>
        <v/>
      </c>
    </row>
    <row r="181" spans="1:6" ht="13.5">
      <c r="A181" s="22" t="s">
        <v>144</v>
      </c>
      <c r="B181" s="23" t="str">
        <f>VLOOKUP(A181,[3]bmgzxx!$D$5:$AL$300,2,0)</f>
        <v>李桂荣</v>
      </c>
      <c r="C181" s="24">
        <f>VLOOKUP(A181,[4]扣税计算!$A$3:$P$241,11,0)</f>
        <v>2300</v>
      </c>
      <c r="D181" s="25">
        <f>VLOOKUP(A181,[4]扣税计算!$A$3:$P$241,14,0)</f>
        <v>138.29</v>
      </c>
      <c r="E181" s="26" t="str">
        <f>VLOOKUP(A181,[4]扣税计算!$A$3:$R$268,15,0)</f>
        <v>3202160601010436220</v>
      </c>
      <c r="F181" s="27" t="str">
        <f>VLOOKUP(A181,[4]扣税计算!$A$3:$S$241,19,0)&amp;IF(VLOOKUP(A181,[4]扣税计算!$A$3:$S$241,18,0)=0,"","补"&amp;VLOOKUP(A181,[4]扣税计算!$A$3:$S$241,18,0))</f>
        <v/>
      </c>
    </row>
    <row r="182" spans="1:6" ht="13.5">
      <c r="A182" s="22" t="s">
        <v>120</v>
      </c>
      <c r="B182" s="23" t="str">
        <f>VLOOKUP(A182,[3]bmgzxx!$D$5:$AL$300,2,0)</f>
        <v>刘永和</v>
      </c>
      <c r="C182" s="24">
        <f>VLOOKUP(A182,[4]扣税计算!$A$3:$P$241,11,0)</f>
        <v>1580</v>
      </c>
      <c r="D182" s="25">
        <f>VLOOKUP(A182,[4]扣税计算!$A$3:$P$241,14,0)</f>
        <v>31.46</v>
      </c>
      <c r="E182" s="26" t="str">
        <f>VLOOKUP(A182,[4]扣税计算!$A$3:$R$268,15,0)</f>
        <v>3202160601010381053</v>
      </c>
      <c r="F182" s="27" t="str">
        <f>VLOOKUP(A182,[4]扣税计算!$A$3:$S$241,19,0)&amp;IF(VLOOKUP(A182,[4]扣税计算!$A$3:$S$241,18,0)=0,"","补"&amp;VLOOKUP(A182,[4]扣税计算!$A$3:$S$241,18,0))</f>
        <v/>
      </c>
    </row>
    <row r="183" spans="1:6" ht="13.5">
      <c r="A183" s="22" t="s">
        <v>193</v>
      </c>
      <c r="B183" s="23" t="str">
        <f>VLOOKUP(A183,[3]bmgzxx!$D$5:$AL$300,2,0)</f>
        <v>赵荣安</v>
      </c>
      <c r="C183" s="24">
        <f>VLOOKUP(A183,[4]扣税计算!$A$3:$P$241,11,0)</f>
        <v>1430</v>
      </c>
      <c r="D183" s="25">
        <f>VLOOKUP(A183,[4]扣税计算!$A$3:$P$241,14,0)</f>
        <v>25.64</v>
      </c>
      <c r="E183" s="26" t="str">
        <f>VLOOKUP(A183,[4]扣税计算!$A$3:$R$268,15,0)</f>
        <v>3202160601010417159</v>
      </c>
      <c r="F183" s="27" t="str">
        <f>VLOOKUP(A183,[4]扣税计算!$A$3:$S$241,19,0)&amp;IF(VLOOKUP(A183,[4]扣税计算!$A$3:$S$241,18,0)=0,"","补"&amp;VLOOKUP(A183,[4]扣税计算!$A$3:$S$241,18,0))</f>
        <v/>
      </c>
    </row>
    <row r="184" spans="1:6" ht="13.5">
      <c r="A184" s="22" t="s">
        <v>67</v>
      </c>
      <c r="B184" s="23" t="str">
        <f>VLOOKUP(A184,[3]bmgzxx!$D$5:$AL$300,2,0)</f>
        <v>徐 青</v>
      </c>
      <c r="C184" s="24">
        <f>VLOOKUP(A184,[4]扣税计算!$A$3:$P$241,11,0)</f>
        <v>2100</v>
      </c>
      <c r="D184" s="25">
        <f>VLOOKUP(A184,[4]扣税计算!$A$3:$P$241,14,0)</f>
        <v>93.63</v>
      </c>
      <c r="E184" s="26" t="str">
        <f>VLOOKUP(A184,[4]扣税计算!$A$3:$R$268,15,0)</f>
        <v>3202160601063754309</v>
      </c>
      <c r="F184" s="27" t="str">
        <f>VLOOKUP(A184,[4]扣税计算!$A$3:$S$241,19,0)&amp;IF(VLOOKUP(A184,[4]扣税计算!$A$3:$S$241,18,0)=0,"","补"&amp;VLOOKUP(A184,[4]扣税计算!$A$3:$S$241,18,0))</f>
        <v/>
      </c>
    </row>
    <row r="185" spans="1:6" ht="13.5">
      <c r="A185" s="22" t="s">
        <v>155</v>
      </c>
      <c r="B185" s="23" t="str">
        <f>VLOOKUP(A185,[3]bmgzxx!$D$5:$AL$300,2,0)</f>
        <v>周力平</v>
      </c>
      <c r="C185" s="24">
        <f>VLOOKUP(A185,[4]扣税计算!$A$3:$P$241,11,0)</f>
        <v>2100</v>
      </c>
      <c r="D185" s="25">
        <f>VLOOKUP(A185,[4]扣税计算!$A$3:$P$241,14,0)</f>
        <v>108.49000000000001</v>
      </c>
      <c r="E185" s="26" t="str">
        <f>VLOOKUP(A185,[4]扣税计算!$A$3:$R$268,15,0)</f>
        <v>3202160601010441616</v>
      </c>
      <c r="F185" s="27" t="str">
        <f>VLOOKUP(A185,[4]扣税计算!$A$3:$S$241,19,0)&amp;IF(VLOOKUP(A185,[4]扣税计算!$A$3:$S$241,18,0)=0,"","补"&amp;VLOOKUP(A185,[4]扣税计算!$A$3:$S$241,18,0))</f>
        <v/>
      </c>
    </row>
    <row r="186" spans="1:6" ht="13.5">
      <c r="A186" s="22" t="s">
        <v>148</v>
      </c>
      <c r="B186" s="23" t="str">
        <f>VLOOKUP(A186,[3]bmgzxx!$D$5:$AL$300,2,0)</f>
        <v>雷川华</v>
      </c>
      <c r="C186" s="24">
        <f>VLOOKUP(A186,[4]扣税计算!$A$3:$P$241,11,0)</f>
        <v>1580</v>
      </c>
      <c r="D186" s="25">
        <f>VLOOKUP(A186,[4]扣税计算!$A$3:$P$241,14,0)</f>
        <v>30.04</v>
      </c>
      <c r="E186" s="26" t="str">
        <f>VLOOKUP(A186,[4]扣税计算!$A$3:$R$268,15,0)</f>
        <v>3202160601010436592</v>
      </c>
      <c r="F186" s="27" t="str">
        <f>VLOOKUP(A186,[4]扣税计算!$A$3:$S$241,19,0)&amp;IF(VLOOKUP(A186,[4]扣税计算!$A$3:$S$241,18,0)=0,"","补"&amp;VLOOKUP(A186,[4]扣税计算!$A$3:$S$241,18,0))</f>
        <v/>
      </c>
    </row>
    <row r="187" spans="1:6" ht="13.5">
      <c r="A187" s="22" t="s">
        <v>121</v>
      </c>
      <c r="B187" s="23" t="str">
        <f>VLOOKUP(A187,[3]bmgzxx!$D$5:$AL$300,2,0)</f>
        <v>陈天祥</v>
      </c>
      <c r="C187" s="24">
        <f>VLOOKUP(A187,[4]扣税计算!$A$3:$P$241,11,0)</f>
        <v>1050</v>
      </c>
      <c r="D187" s="25">
        <f>VLOOKUP(A187,[4]扣税计算!$A$3:$P$241,14,0)</f>
        <v>5.86</v>
      </c>
      <c r="E187" s="26" t="str">
        <f>VLOOKUP(A187,[4]扣税计算!$A$3:$R$268,15,0)</f>
        <v>3202160601011269780</v>
      </c>
      <c r="F187" s="27" t="str">
        <f>VLOOKUP(A187,[4]扣税计算!$A$3:$S$241,19,0)&amp;IF(VLOOKUP(A187,[4]扣税计算!$A$3:$S$241,18,0)=0,"","补"&amp;VLOOKUP(A187,[4]扣税计算!$A$3:$S$241,18,0))</f>
        <v/>
      </c>
    </row>
    <row r="188" spans="1:6" ht="13.5">
      <c r="A188" s="22" t="s">
        <v>119</v>
      </c>
      <c r="B188" s="23" t="str">
        <f>VLOOKUP(A188,[3]bmgzxx!$D$5:$AL$300,2,0)</f>
        <v>曹克桥</v>
      </c>
      <c r="C188" s="24">
        <f>VLOOKUP(A188,[4]扣税计算!$A$3:$P$241,11,0)</f>
        <v>1250</v>
      </c>
      <c r="D188" s="25">
        <f>VLOOKUP(A188,[4]扣税计算!$A$3:$P$241,14,0)</f>
        <v>16.920000000000002</v>
      </c>
      <c r="E188" s="26" t="str">
        <f>VLOOKUP(A188,[4]扣税计算!$A$3:$R$268,15,0)</f>
        <v>3202160601010380275</v>
      </c>
      <c r="F188" s="27" t="str">
        <f>VLOOKUP(A188,[4]扣税计算!$A$3:$S$241,19,0)&amp;IF(VLOOKUP(A188,[4]扣税计算!$A$3:$S$241,18,0)=0,"","补"&amp;VLOOKUP(A188,[4]扣税计算!$A$3:$S$241,18,0))</f>
        <v/>
      </c>
    </row>
    <row r="189" spans="1:6" ht="13.5">
      <c r="A189" s="22" t="s">
        <v>114</v>
      </c>
      <c r="B189" s="23" t="str">
        <f>VLOOKUP(A189,[3]bmgzxx!$D$5:$AL$300,2,0)</f>
        <v>袁汉芳</v>
      </c>
      <c r="C189" s="24">
        <f>VLOOKUP(A189,[4]扣税计算!$A$3:$P$241,11,0)</f>
        <v>1050</v>
      </c>
      <c r="D189" s="25">
        <f>VLOOKUP(A189,[4]扣税计算!$A$3:$P$241,14,0)</f>
        <v>0.16</v>
      </c>
      <c r="E189" s="26" t="str">
        <f>VLOOKUP(A189,[4]扣税计算!$A$3:$R$268,15,0)</f>
        <v>3202160601010439174</v>
      </c>
      <c r="F189" s="27" t="str">
        <f>VLOOKUP(A189,[4]扣税计算!$A$3:$S$241,19,0)&amp;IF(VLOOKUP(A189,[4]扣税计算!$A$3:$S$241,18,0)=0,"","补"&amp;VLOOKUP(A189,[4]扣税计算!$A$3:$S$241,18,0))</f>
        <v/>
      </c>
    </row>
    <row r="190" spans="1:6" ht="13.5">
      <c r="A190" s="22" t="s">
        <v>139</v>
      </c>
      <c r="B190" s="23" t="str">
        <f>VLOOKUP(A190,[3]bmgzxx!$D$5:$AL$300,2,0)</f>
        <v>涂胜金</v>
      </c>
      <c r="C190" s="24">
        <f>VLOOKUP(A190,[4]扣税计算!$A$3:$P$241,11,0)</f>
        <v>2300</v>
      </c>
      <c r="D190" s="25">
        <f>VLOOKUP(A190,[4]扣税计算!$A$3:$P$241,14,0)</f>
        <v>143.10000000000002</v>
      </c>
      <c r="E190" s="26" t="str">
        <f>VLOOKUP(A190,[4]扣税计算!$A$3:$R$268,15,0)</f>
        <v>3202160601010431683</v>
      </c>
      <c r="F190" s="27" t="str">
        <f>VLOOKUP(A190,[4]扣税计算!$A$3:$S$241,19,0)&amp;IF(VLOOKUP(A190,[4]扣税计算!$A$3:$S$241,18,0)=0,"","补"&amp;VLOOKUP(A190,[4]扣税计算!$A$3:$S$241,18,0))</f>
        <v/>
      </c>
    </row>
    <row r="191" spans="1:6" ht="13.5">
      <c r="A191" s="22" t="s">
        <v>137</v>
      </c>
      <c r="B191" s="23" t="str">
        <f>VLOOKUP(A191,[3]bmgzxx!$D$5:$AL$300,2,0)</f>
        <v>何正勇</v>
      </c>
      <c r="C191" s="24">
        <f>VLOOKUP(A191,[4]扣税计算!$A$3:$P$241,11,0)</f>
        <v>1580</v>
      </c>
      <c r="D191" s="25">
        <f>VLOOKUP(A191,[4]扣税计算!$A$3:$P$241,14,0)</f>
        <v>28.05</v>
      </c>
      <c r="E191" s="26" t="str">
        <f>VLOOKUP(A191,[4]扣税计算!$A$3:$R$268,15,0)</f>
        <v>3202160601010643891</v>
      </c>
      <c r="F191" s="27" t="str">
        <f>VLOOKUP(A191,[4]扣税计算!$A$3:$S$241,19,0)&amp;IF(VLOOKUP(A191,[4]扣税计算!$A$3:$S$241,18,0)=0,"","补"&amp;VLOOKUP(A191,[4]扣税计算!$A$3:$S$241,18,0))</f>
        <v/>
      </c>
    </row>
    <row r="192" spans="1:6" ht="13.5">
      <c r="A192" s="22" t="s">
        <v>64</v>
      </c>
      <c r="B192" s="23" t="str">
        <f>VLOOKUP(A192,[3]bmgzxx!$D$5:$AL$300,2,0)</f>
        <v>杨华山</v>
      </c>
      <c r="C192" s="24">
        <f>VLOOKUP(A192,[4]扣税计算!$A$3:$P$241,11,0)</f>
        <v>1430</v>
      </c>
      <c r="D192" s="25">
        <f>VLOOKUP(A192,[4]扣税计算!$A$3:$P$241,14,0)</f>
        <v>17.739999999999998</v>
      </c>
      <c r="E192" s="26" t="str">
        <f>VLOOKUP(A192,[4]扣税计算!$A$3:$R$268,15,0)</f>
        <v>3202160601063197814</v>
      </c>
      <c r="F192" s="27" t="str">
        <f>VLOOKUP(A192,[4]扣税计算!$A$3:$S$241,19,0)&amp;IF(VLOOKUP(A192,[4]扣税计算!$A$3:$S$241,18,0)=0,"","补"&amp;VLOOKUP(A192,[4]扣税计算!$A$3:$S$241,18,0))</f>
        <v/>
      </c>
    </row>
    <row r="193" spans="1:6" ht="13.5">
      <c r="A193" s="22" t="s">
        <v>127</v>
      </c>
      <c r="B193" s="23" t="str">
        <f>VLOOKUP(A193,[3]bmgzxx!$D$5:$AL$300,2,0)</f>
        <v>刘玉新</v>
      </c>
      <c r="C193" s="24">
        <f>VLOOKUP(A193,[4]扣税计算!$A$3:$P$241,11,0)</f>
        <v>1580</v>
      </c>
      <c r="D193" s="25">
        <f>VLOOKUP(A193,[4]扣税计算!$A$3:$P$241,14,0)</f>
        <v>29.38</v>
      </c>
      <c r="E193" s="26" t="str">
        <f>VLOOKUP(A193,[4]扣税计算!$A$3:$R$268,15,0)</f>
        <v>3202160601010443792</v>
      </c>
      <c r="F193" s="27" t="str">
        <f>VLOOKUP(A193,[4]扣税计算!$A$3:$S$241,19,0)&amp;IF(VLOOKUP(A193,[4]扣税计算!$A$3:$S$241,18,0)=0,"","补"&amp;VLOOKUP(A193,[4]扣税计算!$A$3:$S$241,18,0))</f>
        <v/>
      </c>
    </row>
    <row r="194" spans="1:6" ht="13.5">
      <c r="A194" s="22" t="s">
        <v>130</v>
      </c>
      <c r="B194" s="23" t="str">
        <f>VLOOKUP(A194,[3]bmgzxx!$D$5:$AL$300,2,0)</f>
        <v>李宏明</v>
      </c>
      <c r="C194" s="24">
        <f>VLOOKUP(A194,[4]扣税计算!$A$3:$P$241,11,0)</f>
        <v>1430</v>
      </c>
      <c r="D194" s="25">
        <f>VLOOKUP(A194,[4]扣税计算!$A$3:$P$241,14,0)</f>
        <v>21.5</v>
      </c>
      <c r="E194" s="26" t="str">
        <f>VLOOKUP(A194,[4]扣税计算!$A$3:$R$268,15,0)</f>
        <v>3202160601010439050</v>
      </c>
      <c r="F194" s="27" t="str">
        <f>VLOOKUP(A194,[4]扣税计算!$A$3:$S$241,19,0)&amp;IF(VLOOKUP(A194,[4]扣税计算!$A$3:$S$241,18,0)=0,"","补"&amp;VLOOKUP(A194,[4]扣税计算!$A$3:$S$241,18,0))</f>
        <v/>
      </c>
    </row>
    <row r="195" spans="1:6" ht="13.5">
      <c r="A195" s="22" t="s">
        <v>115</v>
      </c>
      <c r="B195" s="23" t="str">
        <f>VLOOKUP(A195,[3]bmgzxx!$D$5:$AL$300,2,0)</f>
        <v>曾令刚</v>
      </c>
      <c r="C195" s="24">
        <f>VLOOKUP(A195,[4]扣税计算!$A$3:$P$241,11,0)</f>
        <v>1580</v>
      </c>
      <c r="D195" s="25">
        <f>VLOOKUP(A195,[4]扣税计算!$A$3:$P$241,14,0)</f>
        <v>34.5</v>
      </c>
      <c r="E195" s="26" t="str">
        <f>VLOOKUP(A195,[4]扣税计算!$A$3:$R$268,15,0)</f>
        <v>3202160601010498781</v>
      </c>
      <c r="F195" s="27" t="str">
        <f>VLOOKUP(A195,[4]扣税计算!$A$3:$S$241,19,0)&amp;IF(VLOOKUP(A195,[4]扣税计算!$A$3:$S$241,18,0)=0,"","补"&amp;VLOOKUP(A195,[4]扣税计算!$A$3:$S$241,18,0))</f>
        <v/>
      </c>
    </row>
    <row r="196" spans="1:6" ht="13.5">
      <c r="A196" s="22" t="s">
        <v>122</v>
      </c>
      <c r="B196" s="23" t="str">
        <f>VLOOKUP(A196,[3]bmgzxx!$D$5:$AL$300,2,0)</f>
        <v>魏国强</v>
      </c>
      <c r="C196" s="24">
        <f>VLOOKUP(A196,[4]扣税计算!$A$3:$P$241,11,0)</f>
        <v>1580</v>
      </c>
      <c r="D196" s="25">
        <f>VLOOKUP(A196,[4]扣税计算!$A$3:$P$241,14,0)</f>
        <v>35.39</v>
      </c>
      <c r="E196" s="26" t="str">
        <f>VLOOKUP(A196,[4]扣税计算!$A$3:$R$268,15,0)</f>
        <v>3202160601010378410</v>
      </c>
      <c r="F196" s="27" t="str">
        <f>VLOOKUP(A196,[4]扣税计算!$A$3:$S$241,19,0)&amp;IF(VLOOKUP(A196,[4]扣税计算!$A$3:$S$241,18,0)=0,"","补"&amp;VLOOKUP(A196,[4]扣税计算!$A$3:$S$241,18,0))</f>
        <v/>
      </c>
    </row>
    <row r="197" spans="1:6" ht="13.5">
      <c r="A197" s="22" t="s">
        <v>201</v>
      </c>
      <c r="B197" s="23" t="str">
        <f>VLOOKUP(A197,[3]bmgzxx!$D$5:$AL$300,2,0)</f>
        <v>狄 鸿</v>
      </c>
      <c r="C197" s="24">
        <f>VLOOKUP(A197,[4]扣税计算!$A$3:$P$241,11,0)</f>
        <v>1430</v>
      </c>
      <c r="D197" s="25">
        <f>VLOOKUP(A197,[4]扣税计算!$A$3:$P$241,14,0)</f>
        <v>20.2</v>
      </c>
      <c r="E197" s="26" t="str">
        <f>VLOOKUP(A197,[4]扣税计算!$A$3:$R$268,15,0)</f>
        <v>3202160601010378933</v>
      </c>
      <c r="F197" s="27" t="str">
        <f>VLOOKUP(A197,[4]扣税计算!$A$3:$S$241,19,0)&amp;IF(VLOOKUP(A197,[4]扣税计算!$A$3:$S$241,18,0)=0,"","补"&amp;VLOOKUP(A197,[4]扣税计算!$A$3:$S$241,18,0))</f>
        <v/>
      </c>
    </row>
    <row r="198" spans="1:6" ht="13.5">
      <c r="A198" s="22" t="s">
        <v>232</v>
      </c>
      <c r="B198" s="23" t="str">
        <f>VLOOKUP(A198,[3]bmgzxx!$D$5:$AL$300,2,0)</f>
        <v>钱小玉</v>
      </c>
      <c r="C198" s="24">
        <f>VLOOKUP(A198,[4]扣税计算!$A$3:$P$241,11,0)</f>
        <v>1430</v>
      </c>
      <c r="D198" s="25">
        <f>VLOOKUP(A198,[4]扣税计算!$A$3:$P$241,14,0)</f>
        <v>24.11</v>
      </c>
      <c r="E198" s="26" t="str">
        <f>VLOOKUP(A198,[4]扣税计算!$A$3:$R$268,15,0)</f>
        <v>3202160601010646349</v>
      </c>
      <c r="F198" s="27" t="str">
        <f>VLOOKUP(A198,[4]扣税计算!$A$3:$S$241,19,0)&amp;IF(VLOOKUP(A198,[4]扣税计算!$A$3:$S$241,18,0)=0,"","补"&amp;VLOOKUP(A198,[4]扣税计算!$A$3:$S$241,18,0))</f>
        <v/>
      </c>
    </row>
    <row r="199" spans="1:6" ht="13.5">
      <c r="A199" s="22" t="s">
        <v>166</v>
      </c>
      <c r="B199" s="23" t="str">
        <f>VLOOKUP(A199,[3]bmgzxx!$D$5:$AL$300,2,0)</f>
        <v>李 莫</v>
      </c>
      <c r="C199" s="24">
        <f>VLOOKUP(A199,[4]扣税计算!$A$3:$P$241,11,0)</f>
        <v>1430</v>
      </c>
      <c r="D199" s="25">
        <f>VLOOKUP(A199,[4]扣税计算!$A$3:$P$241,14,0)</f>
        <v>22.1</v>
      </c>
      <c r="E199" s="26" t="str">
        <f>VLOOKUP(A199,[4]扣税计算!$A$3:$R$268,15,0)</f>
        <v>3202160601010652248</v>
      </c>
      <c r="F199" s="27" t="str">
        <f>VLOOKUP(A199,[4]扣税计算!$A$3:$S$241,19,0)&amp;IF(VLOOKUP(A199,[4]扣税计算!$A$3:$S$241,18,0)=0,"","补"&amp;VLOOKUP(A199,[4]扣税计算!$A$3:$S$241,18,0))</f>
        <v/>
      </c>
    </row>
    <row r="200" spans="1:6" ht="13.5">
      <c r="A200" s="22" t="s">
        <v>125</v>
      </c>
      <c r="B200" s="23" t="str">
        <f>VLOOKUP(A200,[3]bmgzxx!$D$5:$AL$300,2,0)</f>
        <v>朱铁容</v>
      </c>
      <c r="C200" s="24">
        <f>VLOOKUP(A200,[4]扣税计算!$A$3:$P$241,11,0)</f>
        <v>1280</v>
      </c>
      <c r="D200" s="25">
        <f>VLOOKUP(A200,[4]扣税计算!$A$3:$P$241,14,0)</f>
        <v>18.27</v>
      </c>
      <c r="E200" s="26" t="str">
        <f>VLOOKUP(A200,[4]扣税计算!$A$3:$R$268,15,0)</f>
        <v>3202160601010742254</v>
      </c>
      <c r="F200" s="27" t="str">
        <f>VLOOKUP(A200,[4]扣税计算!$A$3:$S$241,19,0)&amp;IF(VLOOKUP(A200,[4]扣税计算!$A$3:$S$241,18,0)=0,"","补"&amp;VLOOKUP(A200,[4]扣税计算!$A$3:$S$241,18,0))</f>
        <v/>
      </c>
    </row>
    <row r="201" spans="1:6" ht="13.5">
      <c r="A201" s="22" t="s">
        <v>216</v>
      </c>
      <c r="B201" s="23" t="str">
        <f>VLOOKUP(A201,[3]bmgzxx!$D$5:$AL$300,2,0)</f>
        <v>雒 征</v>
      </c>
      <c r="C201" s="24">
        <f>VLOOKUP(A201,[4]扣税计算!$A$3:$P$241,11,0)</f>
        <v>1580</v>
      </c>
      <c r="D201" s="25">
        <f>VLOOKUP(A201,[4]扣税计算!$A$3:$P$241,14,0)</f>
        <v>30.64</v>
      </c>
      <c r="E201" s="26" t="str">
        <f>VLOOKUP(A201,[4]扣税计算!$A$3:$R$268,15,0)</f>
        <v>3202160601010424510</v>
      </c>
      <c r="F201" s="27" t="str">
        <f>VLOOKUP(A201,[4]扣税计算!$A$3:$S$241,19,0)&amp;IF(VLOOKUP(A201,[4]扣税计算!$A$3:$S$241,18,0)=0,"","补"&amp;VLOOKUP(A201,[4]扣税计算!$A$3:$S$241,18,0))</f>
        <v/>
      </c>
    </row>
    <row r="202" spans="1:6" ht="13.5">
      <c r="A202" s="22" t="s">
        <v>39</v>
      </c>
      <c r="B202" s="23" t="str">
        <f>VLOOKUP(A202,[3]bmgzxx!$D$5:$AL$300,2,0)</f>
        <v>冯晓黎</v>
      </c>
      <c r="C202" s="24">
        <f>VLOOKUP(A202,[4]扣税计算!$A$3:$P$241,11,0)</f>
        <v>1280</v>
      </c>
      <c r="D202" s="25">
        <f>VLOOKUP(A202,[4]扣税计算!$A$3:$P$241,14,0)</f>
        <v>10.63</v>
      </c>
      <c r="E202" s="26" t="str">
        <f>VLOOKUP(A202,[4]扣税计算!$A$3:$R$268,15,0)</f>
        <v>3202160601011286762</v>
      </c>
      <c r="F202" s="27" t="str">
        <f>VLOOKUP(A202,[4]扣税计算!$A$3:$S$241,19,0)&amp;IF(VLOOKUP(A202,[4]扣税计算!$A$3:$S$241,18,0)=0,"","补"&amp;VLOOKUP(A202,[4]扣税计算!$A$3:$S$241,18,0))</f>
        <v/>
      </c>
    </row>
    <row r="203" spans="1:6" ht="13.5">
      <c r="A203" s="22" t="s">
        <v>265</v>
      </c>
      <c r="B203" s="23" t="str">
        <f>VLOOKUP(A203,[3]bmgzxx!$D$5:$AL$300,2,0)</f>
        <v>吴 琳</v>
      </c>
      <c r="C203" s="24">
        <f>VLOOKUP(A203,[4]扣税计算!$A$3:$P$241,11,0)</f>
        <v>2200</v>
      </c>
      <c r="D203" s="25">
        <f>VLOOKUP(A203,[4]扣税计算!$A$3:$P$241,14,0)</f>
        <v>20.82</v>
      </c>
      <c r="E203" s="26" t="str">
        <f>VLOOKUP(A203,[4]扣税计算!$A$3:$R$268,15,0)</f>
        <v>6222023202043883767</v>
      </c>
      <c r="F203" s="27" t="str">
        <f>VLOOKUP(A203,[4]扣税计算!$A$3:$S$241,19,0)&amp;IF(VLOOKUP(A203,[4]扣税计算!$A$3:$S$241,18,0)=0,"","补"&amp;VLOOKUP(A203,[4]扣税计算!$A$3:$S$241,18,0))</f>
        <v>补500</v>
      </c>
    </row>
    <row r="204" spans="1:6" ht="13.5">
      <c r="A204" s="22" t="s">
        <v>97</v>
      </c>
      <c r="B204" s="23" t="str">
        <f>VLOOKUP(A204,[3]bmgzxx!$D$5:$AL$300,2,0)</f>
        <v>俞兆旺</v>
      </c>
      <c r="C204" s="24">
        <f>VLOOKUP(A204,[4]扣税计算!$A$3:$P$241,11,0)</f>
        <v>4500</v>
      </c>
      <c r="D204" s="25">
        <f>VLOOKUP(A204,[4]扣税计算!$A$3:$P$241,14,0)</f>
        <v>492.85000000000008</v>
      </c>
      <c r="E204" s="26" t="str">
        <f>VLOOKUP(A204,[4]扣税计算!$A$3:$R$268,15,0)</f>
        <v>3202160601010512561</v>
      </c>
      <c r="F204" s="27" t="str">
        <f>VLOOKUP(A204,[4]扣税计算!$A$3:$S$241,19,0)&amp;IF(VLOOKUP(A204,[4]扣税计算!$A$3:$S$241,18,0)=0,"","补"&amp;VLOOKUP(A204,[4]扣税计算!$A$3:$S$241,18,0))</f>
        <v/>
      </c>
    </row>
    <row r="205" spans="1:6" ht="13.5">
      <c r="A205" s="22" t="s">
        <v>256</v>
      </c>
      <c r="B205" s="23" t="str">
        <f>VLOOKUP(A205,[3]bmgzxx!$D$5:$AL$300,2,0)</f>
        <v>屈文谦</v>
      </c>
      <c r="C205" s="24">
        <f>VLOOKUP(A205,[4]扣税计算!$A$3:$P$241,11,0)</f>
        <v>5000</v>
      </c>
      <c r="D205" s="25">
        <f>VLOOKUP(A205,[4]扣税计算!$A$3:$P$241,14,0)</f>
        <v>471.08</v>
      </c>
      <c r="E205" s="26" t="str">
        <f>VLOOKUP(A205,[4]扣税计算!$A$3:$R$268,15,0)</f>
        <v>3202160601010422706</v>
      </c>
      <c r="F205" s="27" t="str">
        <f>VLOOKUP(A205,[4]扣税计算!$A$3:$S$241,19,0)&amp;IF(VLOOKUP(A205,[4]扣税计算!$A$3:$S$241,18,0)=0,"","补"&amp;VLOOKUP(A205,[4]扣税计算!$A$3:$S$241,18,0))</f>
        <v/>
      </c>
    </row>
    <row r="206" spans="1:6" ht="13.5">
      <c r="A206" s="22" t="s">
        <v>228</v>
      </c>
      <c r="B206" s="23" t="str">
        <f>VLOOKUP(A206,[3]bmgzxx!$D$5:$AL$300,2,0)</f>
        <v>李建雄</v>
      </c>
      <c r="C206" s="24">
        <f>VLOOKUP(A206,[4]扣税计算!$A$3:$P$241,11,0)</f>
        <v>4100</v>
      </c>
      <c r="D206" s="25">
        <f>VLOOKUP(A206,[4]扣税计算!$A$3:$P$241,14,0)</f>
        <v>347.19</v>
      </c>
      <c r="E206" s="26" t="str">
        <f>VLOOKUP(A206,[4]扣税计算!$A$3:$R$268,15,0)</f>
        <v>3202160601010422431</v>
      </c>
      <c r="F206" s="27" t="str">
        <f>VLOOKUP(A206,[4]扣税计算!$A$3:$S$241,19,0)&amp;IF(VLOOKUP(A206,[4]扣税计算!$A$3:$S$241,18,0)=0,"","补"&amp;VLOOKUP(A206,[4]扣税计算!$A$3:$S$241,18,0))</f>
        <v/>
      </c>
    </row>
    <row r="207" spans="1:6" ht="13.5">
      <c r="A207" s="22" t="s">
        <v>258</v>
      </c>
      <c r="B207" s="23" t="str">
        <f>VLOOKUP(A207,[3]bmgzxx!$D$5:$AL$300,2,0)</f>
        <v>周玉霞</v>
      </c>
      <c r="C207" s="24">
        <f>VLOOKUP(A207,[4]扣税计算!$A$3:$P$241,11,0)</f>
        <v>3950</v>
      </c>
      <c r="D207" s="25">
        <f>VLOOKUP(A207,[4]扣税计算!$A$3:$P$241,14,0)</f>
        <v>275.10000000000002</v>
      </c>
      <c r="E207" s="26" t="str">
        <f>VLOOKUP(A207,[4]扣税计算!$A$3:$R$268,15,0)</f>
        <v>3202160601011018451</v>
      </c>
      <c r="F207" s="27" t="str">
        <f>VLOOKUP(A207,[4]扣税计算!$A$3:$S$241,19,0)&amp;IF(VLOOKUP(A207,[4]扣税计算!$A$3:$S$241,18,0)=0,"","补"&amp;VLOOKUP(A207,[4]扣税计算!$A$3:$S$241,18,0))</f>
        <v/>
      </c>
    </row>
    <row r="208" spans="1:6" ht="13.5">
      <c r="A208" s="22" t="s">
        <v>230</v>
      </c>
      <c r="B208" s="23" t="str">
        <f>VLOOKUP(A208,[3]bmgzxx!$D$5:$AL$300,2,0)</f>
        <v>吴运卿</v>
      </c>
      <c r="C208" s="24">
        <f>VLOOKUP(A208,[4]扣税计算!$A$3:$P$241,11,0)</f>
        <v>7100</v>
      </c>
      <c r="D208" s="25">
        <f>VLOOKUP(A208,[4]扣税计算!$A$3:$P$241,14,0)</f>
        <v>898.63</v>
      </c>
      <c r="E208" s="26" t="str">
        <f>VLOOKUP(A208,[4]扣税计算!$A$3:$R$268,15,0)</f>
        <v>3202160601064391342</v>
      </c>
      <c r="F208" s="27" t="str">
        <f>VLOOKUP(A208,[4]扣税计算!$A$3:$S$241,19,0)&amp;IF(VLOOKUP(A208,[4]扣税计算!$A$3:$S$241,18,0)=0,"","补"&amp;VLOOKUP(A208,[4]扣税计算!$A$3:$S$241,18,0))</f>
        <v>之前补差补3000</v>
      </c>
    </row>
    <row r="209" spans="1:6" ht="13.5">
      <c r="A209" s="22" t="s">
        <v>168</v>
      </c>
      <c r="B209" s="23" t="str">
        <f>VLOOKUP(A209,[3]bmgzxx!$D$5:$AL$300,2,0)</f>
        <v>黄忠华</v>
      </c>
      <c r="C209" s="24">
        <f>VLOOKUP(A209,[4]扣税计算!$A$3:$P$241,11,0)</f>
        <v>3000</v>
      </c>
      <c r="D209" s="25">
        <f>VLOOKUP(A209,[4]扣税计算!$A$3:$P$241,14,0)</f>
        <v>176.75</v>
      </c>
      <c r="E209" s="26" t="str">
        <f>VLOOKUP(A209,[4]扣税计算!$A$3:$R$268,15,0)</f>
        <v>3202160601010411747</v>
      </c>
      <c r="F209" s="27" t="str">
        <f>VLOOKUP(A209,[4]扣税计算!$A$3:$S$241,19,0)&amp;IF(VLOOKUP(A209,[4]扣税计算!$A$3:$S$241,18,0)=0,"","补"&amp;VLOOKUP(A209,[4]扣税计算!$A$3:$S$241,18,0))</f>
        <v/>
      </c>
    </row>
    <row r="210" spans="1:6" ht="13.5">
      <c r="A210" s="22" t="s">
        <v>118</v>
      </c>
      <c r="B210" s="23" t="str">
        <f>VLOOKUP(A210,[3]bmgzxx!$D$5:$AL$300,2,0)</f>
        <v>梅俊祥</v>
      </c>
      <c r="C210" s="24">
        <f>VLOOKUP(A210,[4]扣税计算!$A$3:$P$241,11,0)</f>
        <v>2650</v>
      </c>
      <c r="D210" s="25">
        <f>VLOOKUP(A210,[4]扣税计算!$A$3:$P$241,14,0)</f>
        <v>164.31</v>
      </c>
      <c r="E210" s="26" t="str">
        <f>VLOOKUP(A210,[4]扣税计算!$A$3:$R$268,15,0)</f>
        <v>3202160601010430010</v>
      </c>
      <c r="F210" s="27" t="str">
        <f>VLOOKUP(A210,[4]扣税计算!$A$3:$S$241,19,0)&amp;IF(VLOOKUP(A210,[4]扣税计算!$A$3:$S$241,18,0)=0,"","补"&amp;VLOOKUP(A210,[4]扣税计算!$A$3:$S$241,18,0))</f>
        <v/>
      </c>
    </row>
    <row r="211" spans="1:6" ht="13.5">
      <c r="A211" s="22" t="s">
        <v>101</v>
      </c>
      <c r="B211" s="23" t="str">
        <f>VLOOKUP(A211,[3]bmgzxx!$D$5:$AL$300,2,0)</f>
        <v>胡承胜</v>
      </c>
      <c r="C211" s="24">
        <f>VLOOKUP(A211,[4]扣税计算!$A$3:$P$241,11,0)</f>
        <v>2800</v>
      </c>
      <c r="D211" s="25">
        <f>VLOOKUP(A211,[4]扣税计算!$A$3:$P$241,14,0)</f>
        <v>156.99</v>
      </c>
      <c r="E211" s="26" t="str">
        <f>VLOOKUP(A211,[4]扣税计算!$A$3:$R$268,15,0)</f>
        <v>3202160601010754638</v>
      </c>
      <c r="F211" s="27" t="str">
        <f>VLOOKUP(A211,[4]扣税计算!$A$3:$S$241,19,0)&amp;IF(VLOOKUP(A211,[4]扣税计算!$A$3:$S$241,18,0)=0,"","补"&amp;VLOOKUP(A211,[4]扣税计算!$A$3:$S$241,18,0))</f>
        <v/>
      </c>
    </row>
    <row r="212" spans="1:6" ht="13.5">
      <c r="A212" s="22" t="s">
        <v>117</v>
      </c>
      <c r="B212" s="23" t="str">
        <f>VLOOKUP(A212,[3]bmgzxx!$D$5:$AL$300,2,0)</f>
        <v>刘 峰</v>
      </c>
      <c r="C212" s="24">
        <f>VLOOKUP(A212,[4]扣税计算!$A$3:$P$241,11,0)</f>
        <v>3000</v>
      </c>
      <c r="D212" s="25">
        <f>VLOOKUP(A212,[4]扣税计算!$A$3:$P$241,14,0)</f>
        <v>174.55</v>
      </c>
      <c r="E212" s="26" t="str">
        <f>VLOOKUP(A212,[4]扣税计算!$A$3:$R$268,15,0)</f>
        <v>3202160601010430134</v>
      </c>
      <c r="F212" s="27" t="str">
        <f>VLOOKUP(A212,[4]扣税计算!$A$3:$S$241,19,0)&amp;IF(VLOOKUP(A212,[4]扣税计算!$A$3:$S$241,18,0)=0,"","补"&amp;VLOOKUP(A212,[4]扣税计算!$A$3:$S$241,18,0))</f>
        <v/>
      </c>
    </row>
    <row r="213" spans="1:6" ht="13.5">
      <c r="A213" s="22" t="s">
        <v>161</v>
      </c>
      <c r="B213" s="23" t="str">
        <f>VLOOKUP(A213,[3]bmgzxx!$D$5:$AL$300,2,0)</f>
        <v>任春秀</v>
      </c>
      <c r="C213" s="24">
        <f>VLOOKUP(A213,[4]扣税计算!$A$3:$P$241,11,0)</f>
        <v>4930</v>
      </c>
      <c r="D213" s="25">
        <f>VLOOKUP(A213,[4]扣税计算!$A$3:$P$241,14,0)</f>
        <v>322.38</v>
      </c>
      <c r="E213" s="26" t="str">
        <f>VLOOKUP(A213,[4]扣税计算!$A$3:$R$268,15,0)</f>
        <v>3202160601010616507</v>
      </c>
      <c r="F213" s="27" t="str">
        <f>VLOOKUP(A213,[4]扣税计算!$A$3:$S$241,19,0)&amp;IF(VLOOKUP(A213,[4]扣税计算!$A$3:$S$241,18,0)=0,"","补"&amp;VLOOKUP(A213,[4]扣税计算!$A$3:$S$241,18,0))</f>
        <v>补1200</v>
      </c>
    </row>
    <row r="214" spans="1:6" ht="13.5">
      <c r="A214" s="22" t="s">
        <v>116</v>
      </c>
      <c r="B214" s="23" t="str">
        <f>VLOOKUP(A214,[3]bmgzxx!$D$5:$AL$300,2,0)</f>
        <v>熊 英</v>
      </c>
      <c r="C214" s="24">
        <f>VLOOKUP(A214,[4]扣税计算!$A$3:$P$241,11,0)</f>
        <v>2030</v>
      </c>
      <c r="D214" s="25">
        <f>VLOOKUP(A214,[4]扣税计算!$A$3:$P$241,14,0)</f>
        <v>43.51</v>
      </c>
      <c r="E214" s="26" t="str">
        <f>VLOOKUP(A214,[4]扣税计算!$A$3:$R$268,15,0)</f>
        <v>3202160601010326375</v>
      </c>
      <c r="F214" s="27" t="str">
        <f>VLOOKUP(A214,[4]扣税计算!$A$3:$S$241,19,0)&amp;IF(VLOOKUP(A214,[4]扣税计算!$A$3:$S$241,18,0)=0,"","补"&amp;VLOOKUP(A214,[4]扣税计算!$A$3:$S$241,18,0))</f>
        <v/>
      </c>
    </row>
    <row r="215" spans="1:6" ht="13.5">
      <c r="A215" s="22" t="s">
        <v>231</v>
      </c>
      <c r="B215" s="23" t="str">
        <f>VLOOKUP(A215,[3]bmgzxx!$D$5:$AL$300,2,0)</f>
        <v>龙元英</v>
      </c>
      <c r="C215" s="24">
        <f>VLOOKUP(A215,[4]扣税计算!$A$3:$P$241,11,0)</f>
        <v>4780</v>
      </c>
      <c r="D215" s="25">
        <f>VLOOKUP(A215,[4]扣税计算!$A$3:$P$241,14,0)</f>
        <v>324.33999999999997</v>
      </c>
      <c r="E215" s="26" t="str">
        <f>VLOOKUP(A215,[4]扣税计算!$A$3:$R$268,15,0)</f>
        <v>3202160601010643244</v>
      </c>
      <c r="F215" s="27" t="str">
        <f>VLOOKUP(A215,[4]扣税计算!$A$3:$S$241,19,0)&amp;IF(VLOOKUP(A215,[4]扣税计算!$A$3:$S$241,18,0)=0,"","补"&amp;VLOOKUP(A215,[4]扣税计算!$A$3:$S$241,18,0))</f>
        <v>4月的行政补贴补发及201201开始的100补发补2300</v>
      </c>
    </row>
    <row r="216" spans="1:6" ht="13.5">
      <c r="A216" s="22" t="s">
        <v>229</v>
      </c>
      <c r="B216" s="23" t="str">
        <f>VLOOKUP(A216,[3]bmgzxx!$D$5:$AL$300,2,0)</f>
        <v>蔡映红</v>
      </c>
      <c r="C216" s="24">
        <f>VLOOKUP(A216,[4]扣税计算!$A$3:$P$241,11,0)</f>
        <v>2030</v>
      </c>
      <c r="D216" s="25">
        <f>VLOOKUP(A216,[4]扣税计算!$A$3:$P$241,14,0)</f>
        <v>44.93</v>
      </c>
      <c r="E216" s="26" t="str">
        <f>VLOOKUP(A216,[4]扣税计算!$A$3:$R$268,15,0)</f>
        <v>3202160601010422954</v>
      </c>
      <c r="F216" s="27" t="str">
        <f>VLOOKUP(A216,[4]扣税计算!$A$3:$S$241,19,0)&amp;IF(VLOOKUP(A216,[4]扣税计算!$A$3:$S$241,18,0)=0,"","补"&amp;VLOOKUP(A216,[4]扣税计算!$A$3:$S$241,18,0))</f>
        <v/>
      </c>
    </row>
    <row r="217" spans="1:6" ht="13.5">
      <c r="A217" s="22" t="s">
        <v>151</v>
      </c>
      <c r="B217" s="23" t="str">
        <f>VLOOKUP(A217,[3]bmgzxx!$D$5:$AL$300,2,0)</f>
        <v>吴云芳</v>
      </c>
      <c r="C217" s="24">
        <f>VLOOKUP(A217,[4]扣税计算!$A$3:$P$241,11,0)</f>
        <v>2480</v>
      </c>
      <c r="D217" s="25">
        <f>VLOOKUP(A217,[4]扣税计算!$A$3:$P$241,14,0)</f>
        <v>67.34</v>
      </c>
      <c r="E217" s="26" t="str">
        <f>VLOOKUP(A217,[4]扣税计算!$A$3:$R$268,15,0)</f>
        <v>3202160601010649578</v>
      </c>
      <c r="F217" s="27" t="str">
        <f>VLOOKUP(A217,[4]扣税计算!$A$3:$S$241,19,0)&amp;IF(VLOOKUP(A217,[4]扣税计算!$A$3:$S$241,18,0)=0,"","补"&amp;VLOOKUP(A217,[4]扣税计算!$A$3:$S$241,18,0))</f>
        <v/>
      </c>
    </row>
    <row r="218" spans="1:6" ht="13.5">
      <c r="A218" s="22" t="s">
        <v>254</v>
      </c>
      <c r="B218" s="23" t="str">
        <f>VLOOKUP(A218,[3]bmgzxx!$D$5:$AL$300,2,0)</f>
        <v>林 涛</v>
      </c>
      <c r="C218" s="24">
        <f>VLOOKUP(A218,[4]扣税计算!$A$3:$P$241,11,0)</f>
        <v>2480</v>
      </c>
      <c r="D218" s="25">
        <f>VLOOKUP(A218,[4]扣税计算!$A$3:$P$241,14,0)</f>
        <v>61.13</v>
      </c>
      <c r="E218" s="26" t="str">
        <f>VLOOKUP(A218,[4]扣税计算!$A$3:$R$268,15,0)</f>
        <v>6222083202005806084</v>
      </c>
      <c r="F218" s="27" t="str">
        <f>VLOOKUP(A218,[4]扣税计算!$A$3:$S$241,19,0)&amp;IF(VLOOKUP(A218,[4]扣税计算!$A$3:$S$241,18,0)=0,"","补"&amp;VLOOKUP(A218,[4]扣税计算!$A$3:$S$241,18,0))</f>
        <v/>
      </c>
    </row>
    <row r="219" spans="1:6" ht="13.5">
      <c r="A219" s="22" t="s">
        <v>234</v>
      </c>
      <c r="B219" s="23" t="str">
        <f>VLOOKUP(A219,[3]bmgzxx!$D$5:$AL$300,2,0)</f>
        <v>王 放</v>
      </c>
      <c r="C219" s="24">
        <f>VLOOKUP(A219,[4]扣税计算!$A$3:$P$241,11,0)</f>
        <v>2630</v>
      </c>
      <c r="D219" s="25">
        <f>VLOOKUP(A219,[4]扣税计算!$A$3:$P$241,14,0)</f>
        <v>98.08</v>
      </c>
      <c r="E219" s="26" t="str">
        <f>VLOOKUP(A219,[4]扣税计算!$A$3:$R$268,15,0)</f>
        <v>3202160601010442367</v>
      </c>
      <c r="F219" s="27" t="str">
        <f>VLOOKUP(A219,[4]扣税计算!$A$3:$S$241,19,0)&amp;IF(VLOOKUP(A219,[4]扣税计算!$A$3:$S$241,18,0)=0,"","补"&amp;VLOOKUP(A219,[4]扣税计算!$A$3:$S$241,18,0))</f>
        <v>补600</v>
      </c>
    </row>
    <row r="220" spans="1:6" ht="13.5">
      <c r="A220" s="22" t="s">
        <v>167</v>
      </c>
      <c r="B220" s="23" t="str">
        <f>VLOOKUP(A220,[3]bmgzxx!$D$5:$AL$300,2,0)</f>
        <v>贾 嘉</v>
      </c>
      <c r="C220" s="24">
        <f>VLOOKUP(A220,[4]扣税计算!$A$3:$P$241,11,0)</f>
        <v>1930</v>
      </c>
      <c r="D220" s="25">
        <f>VLOOKUP(A220,[4]扣税计算!$A$3:$P$241,14,0)</f>
        <v>38.43</v>
      </c>
      <c r="E220" s="26" t="str">
        <f>VLOOKUP(A220,[4]扣税计算!$A$3:$R$268,15,0)</f>
        <v>3202160601010381727</v>
      </c>
      <c r="F220" s="27" t="str">
        <f>VLOOKUP(A220,[4]扣税计算!$A$3:$S$241,19,0)&amp;IF(VLOOKUP(A220,[4]扣税计算!$A$3:$S$241,18,0)=0,"","补"&amp;VLOOKUP(A220,[4]扣税计算!$A$3:$S$241,18,0))</f>
        <v/>
      </c>
    </row>
    <row r="221" spans="1:6" ht="13.5">
      <c r="A221" s="22" t="s">
        <v>56</v>
      </c>
      <c r="B221" s="23" t="str">
        <f>VLOOKUP(A221,[3]bmgzxx!$D$5:$AL$300,2,0)</f>
        <v>李 坤</v>
      </c>
      <c r="C221" s="24">
        <f>VLOOKUP(A221,[4]扣税计算!$A$3:$P$241,11,0)</f>
        <v>1700</v>
      </c>
      <c r="D221" s="25">
        <f>VLOOKUP(A221,[4]扣税计算!$A$3:$P$241,14,0)</f>
        <v>12.56</v>
      </c>
      <c r="E221" s="26" t="str">
        <f>VLOOKUP(A221,[4]扣税计算!$A$3:$R$268,15,0)</f>
        <v>3202160601062244352</v>
      </c>
      <c r="F221" s="27" t="str">
        <f>VLOOKUP(A221,[4]扣税计算!$A$3:$S$241,19,0)&amp;IF(VLOOKUP(A221,[4]扣税计算!$A$3:$S$241,18,0)=0,"","补"&amp;VLOOKUP(A221,[4]扣税计算!$A$3:$S$241,18,0))</f>
        <v/>
      </c>
    </row>
    <row r="222" spans="1:6" ht="13.5">
      <c r="A222" s="22" t="s">
        <v>68</v>
      </c>
      <c r="B222" s="23" t="str">
        <f>VLOOKUP(A222,[3]bmgzxx!$D$5:$AL$300,2,0)</f>
        <v>徐国章</v>
      </c>
      <c r="C222" s="24">
        <f>VLOOKUP(A222,[4]扣税计算!$A$3:$P$241,11,0)</f>
        <v>2250</v>
      </c>
      <c r="D222" s="25">
        <f>VLOOKUP(A222,[4]扣税计算!$A$3:$P$241,14,0)</f>
        <v>28.92</v>
      </c>
      <c r="E222" s="26" t="str">
        <f>VLOOKUP(A222,[4]扣税计算!$A$3:$R$268,15,0)</f>
        <v>3202160601063842635</v>
      </c>
      <c r="F222" s="27" t="str">
        <f>VLOOKUP(A222,[4]扣税计算!$A$3:$S$241,19,0)&amp;IF(VLOOKUP(A222,[4]扣税计算!$A$3:$S$241,18,0)=0,"","补"&amp;VLOOKUP(A222,[4]扣税计算!$A$3:$S$241,18,0))</f>
        <v/>
      </c>
    </row>
    <row r="223" spans="1:6" ht="13.5">
      <c r="A223" s="22" t="s">
        <v>72</v>
      </c>
      <c r="B223" s="23" t="str">
        <f>VLOOKUP(A223,[3]bmgzxx!$D$5:$AL$300,2,0)</f>
        <v>左志香</v>
      </c>
      <c r="C223" s="24">
        <f>VLOOKUP(A223,[4]扣税计算!$A$3:$P$241,11,0)</f>
        <v>1800</v>
      </c>
      <c r="D223" s="25">
        <f>VLOOKUP(A223,[4]扣税计算!$A$3:$P$241,14,0)</f>
        <v>15.19</v>
      </c>
      <c r="E223" s="26" t="str">
        <f>VLOOKUP(A223,[4]扣税计算!$A$3:$R$268,15,0)</f>
        <v>6222083202001779939</v>
      </c>
      <c r="F223" s="27" t="str">
        <f>VLOOKUP(A223,[4]扣税计算!$A$3:$S$241,19,0)&amp;IF(VLOOKUP(A223,[4]扣税计算!$A$3:$S$241,18,0)=0,"","补"&amp;VLOOKUP(A223,[4]扣税计算!$A$3:$S$241,18,0))</f>
        <v/>
      </c>
    </row>
    <row r="224" spans="1:6" ht="13.5">
      <c r="A224" s="22" t="s">
        <v>75</v>
      </c>
      <c r="B224" s="23" t="str">
        <f>VLOOKUP(A224,[3]bmgzxx!$D$5:$AL$300,2,0)</f>
        <v>韩春玲</v>
      </c>
      <c r="C224" s="24">
        <f>VLOOKUP(A224,[4]扣税计算!$A$3:$P$241,11,0)</f>
        <v>1700</v>
      </c>
      <c r="D224" s="25">
        <f>VLOOKUP(A224,[4]扣税计算!$A$3:$P$241,14,0)</f>
        <v>7.02</v>
      </c>
      <c r="E224" s="26" t="str">
        <f>VLOOKUP(A224,[4]扣税计算!$A$3:$R$268,15,0)</f>
        <v>3202160601064510067</v>
      </c>
      <c r="F224" s="27" t="str">
        <f>VLOOKUP(A224,[4]扣税计算!$A$3:$S$241,19,0)&amp;IF(VLOOKUP(A224,[4]扣税计算!$A$3:$S$241,18,0)=0,"","补"&amp;VLOOKUP(A224,[4]扣税计算!$A$3:$S$241,18,0))</f>
        <v/>
      </c>
    </row>
    <row r="225" spans="1:6" ht="13.5">
      <c r="A225" s="22" t="s">
        <v>81</v>
      </c>
      <c r="B225" s="23" t="str">
        <f>VLOOKUP(A225,[3]bmgzxx!$D$5:$AL$300,2,0)</f>
        <v>韩 琦</v>
      </c>
      <c r="C225" s="24">
        <f>VLOOKUP(A225,[4]扣税计算!$A$3:$P$241,11,0)</f>
        <v>1800</v>
      </c>
      <c r="D225" s="25">
        <f>VLOOKUP(A225,[4]扣税计算!$A$3:$P$241,14,0)</f>
        <v>14.2</v>
      </c>
      <c r="E225" s="26" t="str">
        <f>VLOOKUP(A225,[4]扣税计算!$A$3:$R$268,15,0)</f>
        <v>6222023202030818149</v>
      </c>
      <c r="F225" s="27" t="str">
        <f>VLOOKUP(A225,[4]扣税计算!$A$3:$S$241,19,0)&amp;IF(VLOOKUP(A225,[4]扣税计算!$A$3:$S$241,18,0)=0,"","补"&amp;VLOOKUP(A225,[4]扣税计算!$A$3:$S$241,18,0))</f>
        <v/>
      </c>
    </row>
    <row r="226" spans="1:6" ht="13.5">
      <c r="A226" s="22" t="s">
        <v>87</v>
      </c>
      <c r="B226" s="23" t="str">
        <f>VLOOKUP(A226,[3]bmgzxx!$D$5:$AL$300,2,0)</f>
        <v>刘 祎</v>
      </c>
      <c r="C226" s="24">
        <f>VLOOKUP(A226,[4]扣税计算!$A$3:$P$241,11,0)</f>
        <v>1800</v>
      </c>
      <c r="D226" s="25">
        <f>VLOOKUP(A226,[4]扣税计算!$A$3:$P$241,14,0)</f>
        <v>14.41</v>
      </c>
      <c r="E226" s="26" t="str">
        <f>VLOOKUP(A226,[4]扣税计算!$A$3:$R$268,15,0)</f>
        <v>6222023202031219834</v>
      </c>
      <c r="F226" s="27" t="str">
        <f>VLOOKUP(A226,[4]扣税计算!$A$3:$S$241,19,0)&amp;IF(VLOOKUP(A226,[4]扣税计算!$A$3:$S$241,18,0)=0,"","补"&amp;VLOOKUP(A226,[4]扣税计算!$A$3:$S$241,18,0))</f>
        <v/>
      </c>
    </row>
    <row r="227" spans="1:6" ht="13.5">
      <c r="A227" s="22" t="s">
        <v>263</v>
      </c>
      <c r="B227" s="23" t="str">
        <f>VLOOKUP(A227,[3]bmgzxx!$D$5:$AL$300,2,0)</f>
        <v>向 昭</v>
      </c>
      <c r="C227" s="24">
        <f>VLOOKUP(A227,[4]扣税计算!$A$3:$P$241,11,0)</f>
        <v>1800</v>
      </c>
      <c r="D227" s="25">
        <f>VLOOKUP(A227,[4]扣税计算!$A$3:$P$241,14,0)</f>
        <v>13.75</v>
      </c>
      <c r="E227" s="26" t="str">
        <f>VLOOKUP(A227,[4]扣税计算!$A$3:$R$268,15,0)</f>
        <v>6222023202020823687</v>
      </c>
      <c r="F227" s="27" t="str">
        <f>VLOOKUP(A227,[4]扣税计算!$A$3:$S$241,19,0)&amp;IF(VLOOKUP(A227,[4]扣税计算!$A$3:$S$241,18,0)=0,"","补"&amp;VLOOKUP(A227,[4]扣税计算!$A$3:$S$241,18,0))</f>
        <v/>
      </c>
    </row>
    <row r="228" spans="1:6" ht="13.5">
      <c r="A228" s="22" t="s">
        <v>266</v>
      </c>
      <c r="B228" s="23" t="str">
        <f>VLOOKUP(A228,[3]bmgzxx!$D$5:$AL$300,2,0)</f>
        <v>李 丹</v>
      </c>
      <c r="C228" s="24">
        <f>VLOOKUP(A228,[4]扣税计算!$A$3:$P$241,11,0)</f>
        <v>1700</v>
      </c>
      <c r="D228" s="25">
        <f>VLOOKUP(A228,[4]扣税计算!$A$3:$P$241,14,0)</f>
        <v>6.92</v>
      </c>
      <c r="E228" s="26" t="str">
        <f>VLOOKUP(A228,[4]扣税计算!$A$3:$R$268,15,0)</f>
        <v>6222023202047636005</v>
      </c>
      <c r="F228" s="27" t="str">
        <f>VLOOKUP(A228,[4]扣税计算!$A$3:$S$241,19,0)&amp;IF(VLOOKUP(A228,[4]扣税计算!$A$3:$S$241,18,0)=0,"","补"&amp;VLOOKUP(A228,[4]扣税计算!$A$3:$S$241,18,0))</f>
        <v/>
      </c>
    </row>
    <row r="229" spans="1:6" ht="13.5">
      <c r="A229" s="22" t="s">
        <v>267</v>
      </c>
      <c r="B229" s="23" t="str">
        <f>VLOOKUP(A229,[3]bmgzxx!$D$5:$AL$300,2,0)</f>
        <v>刘嘉梅</v>
      </c>
      <c r="C229" s="24">
        <f>VLOOKUP(A229,[4]扣税计算!$A$3:$P$241,11,0)</f>
        <v>1700</v>
      </c>
      <c r="D229" s="25">
        <f>VLOOKUP(A229,[4]扣税计算!$A$3:$P$241,14,0)</f>
        <v>4.75</v>
      </c>
      <c r="E229" s="26" t="str">
        <f>VLOOKUP(A229,[4]扣税计算!$A$3:$R$268,15,0)</f>
        <v>6222083202005806993</v>
      </c>
      <c r="F229" s="27" t="str">
        <f>VLOOKUP(A229,[4]扣税计算!$A$3:$S$241,19,0)&amp;IF(VLOOKUP(A229,[4]扣税计算!$A$3:$S$241,18,0)=0,"","补"&amp;VLOOKUP(A229,[4]扣税计算!$A$3:$S$241,18,0))</f>
        <v/>
      </c>
    </row>
    <row r="230" spans="1:6" ht="13.5">
      <c r="A230" s="22" t="s">
        <v>82</v>
      </c>
      <c r="B230" s="23" t="str">
        <f>VLOOKUP(A230,[3]bmgzxx!$D$5:$AL$300,2,0)</f>
        <v>张慧芸</v>
      </c>
      <c r="C230" s="24">
        <f>VLOOKUP(A230,[4]扣税计算!$A$3:$P$241,11,0)</f>
        <v>1700</v>
      </c>
      <c r="D230" s="25">
        <f>VLOOKUP(A230,[4]扣税计算!$A$3:$P$241,14,0)</f>
        <v>5.8</v>
      </c>
      <c r="E230" s="26" t="str">
        <f>VLOOKUP(A230,[4]扣税计算!$A$3:$R$268,15,0)</f>
        <v>6222023202021297634</v>
      </c>
      <c r="F230" s="27" t="str">
        <f>VLOOKUP(A230,[4]扣税计算!$A$3:$S$241,19,0)&amp;IF(VLOOKUP(A230,[4]扣税计算!$A$3:$S$241,18,0)=0,"","补"&amp;VLOOKUP(A230,[4]扣税计算!$A$3:$S$241,18,0))</f>
        <v/>
      </c>
    </row>
    <row r="231" spans="1:6" ht="13.5">
      <c r="A231" s="22" t="s">
        <v>104</v>
      </c>
      <c r="B231" s="23" t="str">
        <f>VLOOKUP(A231,[3]bmgzxx!$D$5:$AL$300,2,0)</f>
        <v>孔祥元</v>
      </c>
      <c r="C231" s="24">
        <f>VLOOKUP(A231,[4]扣税计算!$A$3:$P$241,11,0)</f>
        <v>2100</v>
      </c>
      <c r="D231" s="25">
        <f>VLOOKUP(A231,[4]扣税计算!$A$3:$P$241,14,0)</f>
        <v>96.36</v>
      </c>
      <c r="E231" s="26" t="str">
        <f>VLOOKUP(A231,[4]扣税计算!$A$3:$R$268,15,0)</f>
        <v>3202160601010421254</v>
      </c>
      <c r="F231" s="27" t="str">
        <f>VLOOKUP(A231,[4]扣税计算!$A$3:$S$241,19,0)&amp;IF(VLOOKUP(A231,[4]扣税计算!$A$3:$S$241,18,0)=0,"","补"&amp;VLOOKUP(A231,[4]扣税计算!$A$3:$S$241,18,0))</f>
        <v/>
      </c>
    </row>
    <row r="232" spans="1:6" ht="13.5">
      <c r="A232" s="22" t="s">
        <v>102</v>
      </c>
      <c r="B232" s="23" t="str">
        <f>VLOOKUP(A232,[3]bmgzxx!$D$5:$AL$300,2,0)</f>
        <v>徐占国</v>
      </c>
      <c r="C232" s="24">
        <f>VLOOKUP(A232,[4]扣税计算!$A$3:$P$241,11,0)</f>
        <v>1950</v>
      </c>
      <c r="D232" s="25">
        <f>VLOOKUP(A232,[4]扣税计算!$A$3:$P$241,14,0)</f>
        <v>54.09</v>
      </c>
      <c r="E232" s="26" t="str">
        <f>VLOOKUP(A232,[4]扣税计算!$A$3:$R$268,15,0)</f>
        <v>3202160601010420875</v>
      </c>
      <c r="F232" s="27" t="str">
        <f>VLOOKUP(A232,[4]扣税计算!$A$3:$S$241,19,0)&amp;IF(VLOOKUP(A232,[4]扣税计算!$A$3:$S$241,18,0)=0,"","补"&amp;VLOOKUP(A232,[4]扣税计算!$A$3:$S$241,18,0))</f>
        <v/>
      </c>
    </row>
    <row r="233" spans="1:6" ht="13.5">
      <c r="A233" s="22" t="s">
        <v>103</v>
      </c>
      <c r="B233" s="23" t="str">
        <f>VLOOKUP(A233,[3]bmgzxx!$D$5:$AL$300,2,0)</f>
        <v>关良宝</v>
      </c>
      <c r="C233" s="24">
        <f>VLOOKUP(A233,[4]扣税计算!$A$3:$P$241,11,0)</f>
        <v>2100</v>
      </c>
      <c r="D233" s="25">
        <f>VLOOKUP(A233,[4]扣税计算!$A$3:$P$241,14,0)</f>
        <v>96.36</v>
      </c>
      <c r="E233" s="26" t="str">
        <f>VLOOKUP(A233,[4]扣税计算!$A$3:$R$268,15,0)</f>
        <v>3202160601010421378</v>
      </c>
      <c r="F233" s="27" t="str">
        <f>VLOOKUP(A233,[4]扣税计算!$A$3:$S$241,19,0)&amp;IF(VLOOKUP(A233,[4]扣税计算!$A$3:$S$241,18,0)=0,"","补"&amp;VLOOKUP(A233,[4]扣税计算!$A$3:$S$241,18,0))</f>
        <v/>
      </c>
    </row>
    <row r="234" spans="1:6" ht="13.5">
      <c r="A234" s="22" t="s">
        <v>100</v>
      </c>
      <c r="B234" s="23" t="str">
        <f>VLOOKUP(A234,[3]bmgzxx!$D$5:$AL$300,2,0)</f>
        <v>舒卫萍</v>
      </c>
      <c r="C234" s="24">
        <f>VLOOKUP(A234,[4]扣税计算!$A$3:$P$241,11,0)</f>
        <v>1430</v>
      </c>
      <c r="D234" s="25">
        <f>VLOOKUP(A234,[4]扣税计算!$A$3:$P$241,14,0)</f>
        <v>19.579999999999998</v>
      </c>
      <c r="E234" s="26" t="str">
        <f>VLOOKUP(A234,[4]扣税计算!$A$3:$R$268,15,0)</f>
        <v>3202160601010617657</v>
      </c>
      <c r="F234" s="27" t="str">
        <f>VLOOKUP(A234,[4]扣税计算!$A$3:$S$241,19,0)&amp;IF(VLOOKUP(A234,[4]扣税计算!$A$3:$S$241,18,0)=0,"","补"&amp;VLOOKUP(A234,[4]扣税计算!$A$3:$S$241,18,0))</f>
        <v/>
      </c>
    </row>
    <row r="235" spans="1:6" ht="13.5">
      <c r="A235" s="22" t="s">
        <v>99</v>
      </c>
      <c r="B235" s="23" t="str">
        <f>VLOOKUP(A235,[3]bmgzxx!$D$5:$AL$300,2,0)</f>
        <v>陆 丹</v>
      </c>
      <c r="C235" s="24">
        <f>VLOOKUP(A235,[4]扣税计算!$A$3:$P$241,11,0)</f>
        <v>1430</v>
      </c>
      <c r="D235" s="25">
        <f>VLOOKUP(A235,[4]扣税计算!$A$3:$P$241,14,0)</f>
        <v>21.5</v>
      </c>
      <c r="E235" s="26" t="str">
        <f>VLOOKUP(A235,[4]扣税计算!$A$3:$R$268,15,0)</f>
        <v>3202160601010348390</v>
      </c>
      <c r="F235" s="27" t="str">
        <f>VLOOKUP(A235,[4]扣税计算!$A$3:$S$241,19,0)&amp;IF(VLOOKUP(A235,[4]扣税计算!$A$3:$S$241,18,0)=0,"","补"&amp;VLOOKUP(A235,[4]扣税计算!$A$3:$S$241,18,0))</f>
        <v/>
      </c>
    </row>
    <row r="236" spans="1:6" ht="13.5">
      <c r="A236" s="22" t="s">
        <v>76</v>
      </c>
      <c r="B236" s="23" t="str">
        <f>VLOOKUP(A236,[3]bmgzxx!$D$5:$AL$300,2,0)</f>
        <v>卫晓婧</v>
      </c>
      <c r="C236" s="24">
        <f>VLOOKUP(A236,[4]扣税计算!$A$3:$P$241,11,0)</f>
        <v>1200</v>
      </c>
      <c r="D236" s="25">
        <f>VLOOKUP(A236,[4]扣税计算!$A$3:$P$241,14,0)</f>
        <v>0</v>
      </c>
      <c r="E236" s="26" t="str">
        <f>VLOOKUP(A236,[4]扣税计算!$A$3:$R$268,15,0)</f>
        <v>3202160601064534684</v>
      </c>
      <c r="F236" s="27" t="str">
        <f>VLOOKUP(A236,[4]扣税计算!$A$3:$S$241,19,0)&amp;IF(VLOOKUP(A236,[4]扣税计算!$A$3:$S$241,18,0)=0,"","补"&amp;VLOOKUP(A236,[4]扣税计算!$A$3:$S$241,18,0))</f>
        <v/>
      </c>
    </row>
    <row r="237" spans="1:6" ht="13.5">
      <c r="A237" s="22" t="s">
        <v>79</v>
      </c>
      <c r="B237" s="23" t="str">
        <f>VLOOKUP(A237,[3]bmgzxx!$D$5:$AL$300,2,0)</f>
        <v>刘小然</v>
      </c>
      <c r="C237" s="24">
        <f>VLOOKUP(A237,[4]扣税计算!$A$3:$P$241,11,0)</f>
        <v>1280</v>
      </c>
      <c r="D237" s="25">
        <f>VLOOKUP(A237,[4]扣税计算!$A$3:$P$241,14,0)</f>
        <v>1.1399999999999999</v>
      </c>
      <c r="E237" s="26" t="str">
        <f>VLOOKUP(A237,[4]扣税计算!$A$3:$R$268,15,0)</f>
        <v>6222023202023264681</v>
      </c>
      <c r="F237" s="27" t="str">
        <f>VLOOKUP(A237,[4]扣税计算!$A$3:$S$241,19,0)&amp;IF(VLOOKUP(A237,[4]扣税计算!$A$3:$S$241,18,0)=0,"","补"&amp;VLOOKUP(A237,[4]扣税计算!$A$3:$S$241,18,0))</f>
        <v/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发送工资单</vt:lpstr>
      <vt:lpstr>Temp财务部报表_有人事号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2013-08-23T08:53:23Z</dcterms:modified>
</cp:coreProperties>
</file>